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 tabRatio="500" firstSheet="4" activeTab="7"/>
  </bookViews>
  <sheets>
    <sheet name="⚙ LISTAS" sheetId="1" state="hidden" r:id="rId1"/>
    <sheet name="📋 CAPA" sheetId="2" r:id="rId2"/>
    <sheet name="📘 TABELA_SUBSÍDIOS" sheetId="3" r:id="rId3"/>
    <sheet name="👥 MEMBROS_JÚRI" sheetId="4" r:id="rId4"/>
    <sheet name="📝 REGISTO_JÚRIS" sheetId="5" r:id="rId5"/>
    <sheet name="💰 LANÇAMENTOS" sheetId="6" r:id="rId6"/>
    <sheet name="🧾 RESUMO_IRT" sheetId="7" r:id="rId7"/>
    <sheet name="📊 DASHBOARD" sheetId="8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D5" authorId="0">
      <text>
        <r>
          <rPr>
            <sz val="10"/>
            <rFont val="Arial"/>
            <charset val="134"/>
          </rPr>
          <t>ACTO: Seleccione 'Defesa' para actos finais ou 'Pré-Defesa' para actos intermédios.</t>
        </r>
      </text>
    </comment>
    <comment ref="K5" authorId="0">
      <text>
        <r>
          <rPr>
            <sz val="10"/>
            <rFont val="Arial"/>
            <charset val="134"/>
          </rPr>
          <t>DATA DEFESA: Insira a data no formato DD/MM/AAAA. Ex.: 15/05/2026</t>
        </r>
      </text>
    </comment>
    <comment ref="L5" authorId="0">
      <text>
        <r>
          <rPr>
            <sz val="10"/>
            <rFont val="Arial"/>
            <charset val="134"/>
          </rPr>
          <t>MÊS: Campo calculado automaticamente a partir da Data da Defesa. Não editar.</t>
        </r>
      </text>
    </comment>
    <comment ref="N5" authorId="0">
      <text>
        <r>
          <rPr>
            <sz val="10"/>
            <rFont val="Arial"/>
            <charset val="134"/>
          </rPr>
          <t>TUTOR/2º VOGAL: O Tutor/Orientador ocupa sempre a função de 2º Vogal. Seleccione da lista.</t>
        </r>
      </text>
    </comment>
    <comment ref="P5" authorId="0">
      <text>
        <r>
          <rPr>
            <sz val="10"/>
            <rFont val="Arial"/>
            <charset val="134"/>
          </rPr>
          <t>CO-TUTOR: Preencher apenas se foi designado co-orientador por despacho específico. Caso contrário, deixe em branco ou insira '—'.</t>
        </r>
      </text>
    </comment>
    <comment ref="R5" authorId="0">
      <text>
        <r>
          <rPr>
            <sz val="10"/>
            <rFont val="Arial"/>
            <charset val="134"/>
          </rPr>
          <t>RESULTADO DEFESA: Escala 0-20 (mínimo aprovação: 10). RESULTADO PRÉ-DEFESA: Aprovado / Reprovado / Pendente / Condicionado.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I5" authorId="0">
      <text>
        <r>
          <rPr>
            <sz val="10"/>
            <rFont val="Arial"/>
            <charset val="134"/>
          </rPr>
          <t>MÊS: Calculado automaticamente a partir da Data do Acto. Não editar.</t>
        </r>
      </text>
    </comment>
    <comment ref="J5" authorId="0">
      <text>
        <r>
          <rPr>
            <sz val="10"/>
            <rFont val="Arial"/>
            <charset val="134"/>
          </rPr>
          <t>VALOR BRUTO: Calculado automaticamente via VLOOKUP (Função+Tipo → Tabela de Subsídios). NÃO aplique IRT aqui.</t>
        </r>
      </text>
    </comment>
  </commentList>
</comments>
</file>

<file path=xl/comments3.xml><?xml version="1.0" encoding="utf-8"?>
<comments xmlns="http://schemas.openxmlformats.org/spreadsheetml/2006/main">
  <authors>
    <author>Unknown Author</author>
  </authors>
  <commentList>
    <comment ref="E7" authorId="0">
      <text>
        <r>
          <rPr>
            <sz val="10"/>
            <rFont val="Arial"/>
            <charset val="134"/>
          </rPr>
          <t>TOTAL BRUTO MENSAL: Calculado automaticamente via SOMASES (soma de TODAS as participações do docente no mês).</t>
        </r>
      </text>
    </comment>
    <comment ref="F7" authorId="0">
      <text>
        <r>
          <rPr>
            <sz val="10"/>
            <rFont val="Arial"/>
            <charset val="134"/>
          </rPr>
          <t>IRT 6,5%: Aplicado sobre o TOTAL mensal — nunca por sessão individual. Base legal: C.I.R.T. Art.º 67.</t>
        </r>
      </text>
    </comment>
    <comment ref="G7" authorId="0">
      <text>
        <r>
          <rPr>
            <sz val="10"/>
            <rFont val="Arial"/>
            <charset val="134"/>
          </rPr>
          <t>LÍQUIDO: Valor efectivo a transferir para a conta bancária do docente.</t>
        </r>
      </text>
    </comment>
    <comment ref="I7" authorId="0">
      <text>
        <r>
          <rPr>
            <sz val="10"/>
            <rFont val="Arial"/>
            <charset val="134"/>
          </rPr>
          <t>SALDO: Diferença entre o Líquido a pagar e o Valor efectivamente pago. Se &gt; 0, docente é credor.</t>
        </r>
      </text>
    </comment>
  </commentList>
</comments>
</file>

<file path=xl/sharedStrings.xml><?xml version="1.0" encoding="utf-8"?>
<sst xmlns="http://schemas.openxmlformats.org/spreadsheetml/2006/main" count="546" uniqueCount="300">
  <si>
    <t>MEMBROS</t>
  </si>
  <si>
    <t>CURSOS</t>
  </si>
  <si>
    <t>FUNCOES</t>
  </si>
  <si>
    <t>TIPOS</t>
  </si>
  <si>
    <t>ACTOS</t>
  </si>
  <si>
    <t>RES_PRE</t>
  </si>
  <si>
    <t>RES_DEF</t>
  </si>
  <si>
    <t>MESES</t>
  </si>
  <si>
    <t>CANAIS</t>
  </si>
  <si>
    <t>ESTADOS</t>
  </si>
  <si>
    <t>VLOOKUP_KEY</t>
  </si>
  <si>
    <t>FUNCAO</t>
  </si>
  <si>
    <t>TIPO</t>
  </si>
  <si>
    <t>VALOR_BRUTO</t>
  </si>
  <si>
    <t>UNIQUE_DOCENTES</t>
  </si>
  <si>
    <t>Manuel Octávio Isaac Spínola</t>
  </si>
  <si>
    <t>Contabilidade e Gestão / CSH</t>
  </si>
  <si>
    <t>Presidente de Júri</t>
  </si>
  <si>
    <t>Individual</t>
  </si>
  <si>
    <t>Defesa</t>
  </si>
  <si>
    <t>Aprovado</t>
  </si>
  <si>
    <t>Reprovado (0-9)</t>
  </si>
  <si>
    <t>Fev/2026</t>
  </si>
  <si>
    <t>Transferência Bancária</t>
  </si>
  <si>
    <t>PAGO</t>
  </si>
  <si>
    <t>Presidente de Júri|Individual</t>
  </si>
  <si>
    <t>Ideleichy Lombillo Rivero</t>
  </si>
  <si>
    <t>Ensino Primário / CSH</t>
  </si>
  <si>
    <t>1º Vogal Arguente</t>
  </si>
  <si>
    <t>Dupla</t>
  </si>
  <si>
    <t>Pré-Defesa</t>
  </si>
  <si>
    <t>Reprovado</t>
  </si>
  <si>
    <t>10</t>
  </si>
  <si>
    <t>Mar/2026</t>
  </si>
  <si>
    <t>Numerário</t>
  </si>
  <si>
    <t>EM ATRASO</t>
  </si>
  <si>
    <t>Presidente de Júri|Dupla</t>
  </si>
  <si>
    <t>Elizabeth González</t>
  </si>
  <si>
    <t>Agronomia / Engenharias e Tecnologias</t>
  </si>
  <si>
    <t>2º Vogal Tutor/Orientador</t>
  </si>
  <si>
    <t>Pendente</t>
  </si>
  <si>
    <t>11</t>
  </si>
  <si>
    <t>Abr/2026</t>
  </si>
  <si>
    <t>Cheque</t>
  </si>
  <si>
    <t>PARCIAL</t>
  </si>
  <si>
    <t>1º Vogal Arguente|Individual</t>
  </si>
  <si>
    <t>Domingos Lunga</t>
  </si>
  <si>
    <t>Enfermagem / Ciências da Saúde</t>
  </si>
  <si>
    <t>Co-tutor</t>
  </si>
  <si>
    <t>Condicionado</t>
  </si>
  <si>
    <t>12</t>
  </si>
  <si>
    <t>Mai/2026</t>
  </si>
  <si>
    <t>Multicaixa</t>
  </si>
  <si>
    <t>ANULADO</t>
  </si>
  <si>
    <t>1º Vogal Arguente|Dupla</t>
  </si>
  <si>
    <t>José Fernando Manuel</t>
  </si>
  <si>
    <t>Todos os Cursos (Especial Ph.D.)</t>
  </si>
  <si>
    <t>Secretário</t>
  </si>
  <si>
    <t>13</t>
  </si>
  <si>
    <t>Jun/2026</t>
  </si>
  <si>
    <t>2º Vogal Tutor/Orientador|Individual</t>
  </si>
  <si>
    <t>Walquiria Chissimo</t>
  </si>
  <si>
    <t>14</t>
  </si>
  <si>
    <t>Jul/2026</t>
  </si>
  <si>
    <t>2º Vogal Tutor/Orientador|Dupla</t>
  </si>
  <si>
    <t>Félix Palau</t>
  </si>
  <si>
    <t>15</t>
  </si>
  <si>
    <t>Ago/2026</t>
  </si>
  <si>
    <t>Co-tutor|Individual</t>
  </si>
  <si>
    <t>Marilda Augusto</t>
  </si>
  <si>
    <t>16</t>
  </si>
  <si>
    <t>Set/2026</t>
  </si>
  <si>
    <t>Co-tutor|Dupla</t>
  </si>
  <si>
    <t>José Monteiro</t>
  </si>
  <si>
    <t>17</t>
  </si>
  <si>
    <t>Out/2026</t>
  </si>
  <si>
    <t>Secretário|Individual</t>
  </si>
  <si>
    <t>Domingos Ngando</t>
  </si>
  <si>
    <t>18</t>
  </si>
  <si>
    <t>Nov/2026</t>
  </si>
  <si>
    <t>Secretário|Dupla</t>
  </si>
  <si>
    <t>19</t>
  </si>
  <si>
    <t>Dez/2026</t>
  </si>
  <si>
    <t>20</t>
  </si>
  <si>
    <t>REPÚBLICA DE ANGOLA — INSTITUTO SUPERIOR POLITÉCNICO DO LIBOLO (ISPTLO)</t>
  </si>
  <si>
    <t>MAPA DE CONTROLO FINANCEIRO — PAGAMENTOS DE JÚRI DE TFC | Versão 3.0</t>
  </si>
  <si>
    <t>⚠ NOVIDADE v3.0: Retenção IRT 6,5% calculada sobre o TOTAL MENSAL POR DOCENTE — não por sessão individual</t>
  </si>
  <si>
    <t>Instituição:</t>
  </si>
  <si>
    <t>Instituto Superior Politécnico do Libolo (ISPTLO)</t>
  </si>
  <si>
    <t>Unidade Gestora:</t>
  </si>
  <si>
    <t>Departamento de Administração e Serviços Gerais — Tesouraria</t>
  </si>
  <si>
    <t>Base Legal:</t>
  </si>
  <si>
    <t>D.P. nº 191/18 (ECDES) | Lei nº 7/15 (LGT) | C.I.R.T. Lei nº 19/14 Art.º 67 | IRT: 6,5%</t>
  </si>
  <si>
    <t>Responsável Actual:</t>
  </si>
  <si>
    <t>[Nome e Cargo — Responsável da Tesouraria]</t>
  </si>
  <si>
    <t>Período de Ref.:</t>
  </si>
  <si>
    <t>[Mês/Ano — ex.: Mai/2026]</t>
  </si>
  <si>
    <t>Versão:</t>
  </si>
  <si>
    <t>3.0 — Arquitectura IRT acumulada por docente/mês</t>
  </si>
  <si>
    <t>Data de Emissão:</t>
  </si>
  <si>
    <t>01/05/2026</t>
  </si>
  <si>
    <t>Aprovado por:</t>
  </si>
  <si>
    <t>[Nome, Grau, Cargo]</t>
  </si>
  <si>
    <t>Periodicidade:</t>
  </si>
  <si>
    <t>Actualização contínua | Reporte: último dia útil de cada mês</t>
  </si>
  <si>
    <t>ESTRUTURA DO FICHEIRO</t>
  </si>
  <si>
    <t>⚙ LISTAS</t>
  </si>
  <si>
    <t>Folha oculta — fontes das listas suspensas e tabela VLOOKUP</t>
  </si>
  <si>
    <t>📋 CAPA</t>
  </si>
  <si>
    <t>Identificação institucional, metadados e instruções</t>
  </si>
  <si>
    <t>📘 TABELA_SUBSÍDIOS</t>
  </si>
  <si>
    <t>Matriz de valores fixos por Função + Tipo — base do VLOOKUP</t>
  </si>
  <si>
    <t>👥 MEMBROS_JÚRI</t>
  </si>
  <si>
    <t>Registo de membros com hierarquia científica ISPTLO</t>
  </si>
  <si>
    <t>📝 REGISTO_JÚRIS</t>
  </si>
  <si>
    <t>Data entry operacional — pré-defesas e defesas, listas suspensas</t>
  </si>
  <si>
    <t>💰 LANÇAMENTOS</t>
  </si>
  <si>
    <t>Detalhe por sessão: valores brutos sem IRT (livro de razão)</t>
  </si>
  <si>
    <t>🧾 RESUMO_IRT</t>
  </si>
  <si>
    <t>⭐ FOLHA CRÍTICA: IRT calculado sobre total mensal por docente</t>
  </si>
  <si>
    <t>📊 DASHBOARD</t>
  </si>
  <si>
    <t>Painel executivo consolidado — totais, AGT, gráficos</t>
  </si>
  <si>
    <t>INSTRUÇÕES CRÍTICAS</t>
  </si>
  <si>
    <t>1. Campos com texto AZUL = dados de entrada (input). Fórmulas a preto — NÃO alterar.</t>
  </si>
  <si>
    <t>2. LANÇAMENTOS: registe cada participação individual. O VLOOKUP calcula o valor automaticamente.</t>
  </si>
  <si>
    <t>3. RESUMO_IRT: é aqui que se calcula o IRT. Um docente tem UMA linha por mês — IRT sobre o TOTAL.</t>
  </si>
  <si>
    <t>4. Nunca aplique IRT em LANÇAMENTOS — a retenção incide apenas sobre o total mensal (RESUMO_IRT).</t>
  </si>
  <si>
    <t>5. Partilhe o ficheiro com Vice-Presidência Académica no último dia útil de cada mês (Acordo 1.3).</t>
  </si>
  <si>
    <t>6. Campos [A PREENCHER] em amarelo devem ser completados antes da distribuição.</t>
  </si>
  <si>
    <t>TABELA DE SUBSÍDIOS — JÚRI DE TFC | Fontes: Ofício 009/25 + Emenda DASG 023/2025</t>
  </si>
  <si>
    <t>Fonte: Ofício nº 009/25 + Emenda DASG nº 023/2025 (12/02/2025) | IRT: Lei nº 19/14 (C.I.R.T.) Art.º 67 | ECDES: D.P. nº 191/18</t>
  </si>
  <si>
    <t>A. MATRIZ DE SUBSÍDIOS POR FUNÇÃO E TIPO DE DEFESA (Base para VLOOKUP automático em LANÇAMENTOS)</t>
  </si>
  <si>
    <t>Função no Júri</t>
  </si>
  <si>
    <t>Individual
Bruto (Kz)</t>
  </si>
  <si>
    <t>Individual
IRT 6,5%</t>
  </si>
  <si>
    <t>Individual
Líquido (Kz)</t>
  </si>
  <si>
    <t>Dupla
Bruto (Kz)</t>
  </si>
  <si>
    <t>Dupla
IRT 6,5%</t>
  </si>
  <si>
    <t>Dupla
Líquido (Kz)</t>
  </si>
  <si>
    <t>Observação / Norma</t>
  </si>
  <si>
    <t>PhD obrigatório — ECDES art.º 8 | D.P. nº 191/18</t>
  </si>
  <si>
    <t>Mestre ou superior</t>
  </si>
  <si>
    <t>Varia por tipo — Ofício 009/25 + Emenda DASG</t>
  </si>
  <si>
    <t>Co-tutor (se designado)</t>
  </si>
  <si>
    <t>Emenda DASG nº 023/2025 — 20% do total dupla</t>
  </si>
  <si>
    <t>Licenciado ou superior</t>
  </si>
  <si>
    <t>B. TABELA DE CHAVES VLOOKUP (Usada automaticamente em LANÇAMENTOS — não editar)</t>
  </si>
  <si>
    <t>Chave VLOOKUP (Função|Tipo)</t>
  </si>
  <si>
    <t>Função</t>
  </si>
  <si>
    <t>Tipo</t>
  </si>
  <si>
    <t>Valor Bruto (Kz)</t>
  </si>
  <si>
    <t>IRT 6,5%</t>
  </si>
  <si>
    <t>Líquido (Kz)</t>
  </si>
  <si>
    <t>Nota</t>
  </si>
  <si>
    <t>⚠ NOTA FISCAL: O IRT de 6,5% NÃO é calculado por sessão — incide sobre o TOTAL MENSAL por docente (ver folha RESUMO_IRT) | C.I.R.T. Art.º 67</t>
  </si>
  <si>
    <t>REGISTO DE MEMBROS DE JÚRI — HIERARQUIA CIENTÍFICA ISPTLO</t>
  </si>
  <si>
    <t>Fonte: Normas de Hierarquização Científica do ISPTLO | D.P. nº 191/18 (ECDES) | Actualizado: 01/05/2026</t>
  </si>
  <si>
    <t>#</t>
  </si>
  <si>
    <t>Nome Completo</t>
  </si>
  <si>
    <t>Título Académico</t>
  </si>
  <si>
    <t>Categoria (ECDES)</t>
  </si>
  <si>
    <t>Departamento / Curso</t>
  </si>
  <si>
    <t>Funções Permitidas (por hierarquia)</t>
  </si>
  <si>
    <t>N.º Funcionário</t>
  </si>
  <si>
    <t>IBAN / Conta Bancária</t>
  </si>
  <si>
    <t>Contacto / E-mail</t>
  </si>
  <si>
    <t>PhD</t>
  </si>
  <si>
    <t>Professor Associado</t>
  </si>
  <si>
    <t>Todas as áreas</t>
  </si>
  <si>
    <t>Presidente de Júri — APENAS Agronomia (máx. 1-2/sem.) | Cargo: Presidente do ISPTLO</t>
  </si>
  <si>
    <t>Professora Catedrática</t>
  </si>
  <si>
    <t>Presidente de Júri (todas áreas) | 1º Vogal em júris com PhD | 2º Vogal Tutora</t>
  </si>
  <si>
    <t>MSc/Doutoranda</t>
  </si>
  <si>
    <t>Professora Auxiliar</t>
  </si>
  <si>
    <t>[Departamento/Curso]</t>
  </si>
  <si>
    <t>Presidente (se PhD confirmado) | 1º Vogal Arguente | 2º Vogal Tutora | Co-tutora</t>
  </si>
  <si>
    <t>Mestre</t>
  </si>
  <si>
    <t>Professor Auxiliar</t>
  </si>
  <si>
    <t>1º Vogal Arguente | 2º Vogal Tutor | Co-tutor</t>
  </si>
  <si>
    <t>Professor Assistente</t>
  </si>
  <si>
    <t>1º Vogal Arguente | 2º Vogal Tutora | Co-tutora</t>
  </si>
  <si>
    <t>Licenciada</t>
  </si>
  <si>
    <t>Prof. Assistente Estagiária</t>
  </si>
  <si>
    <t>Secretária | Co-tutora (por despacho específico)</t>
  </si>
  <si>
    <t>Licenciado</t>
  </si>
  <si>
    <t>Secretário | Co-tutor (por despacho específico)</t>
  </si>
  <si>
    <t>LEGENDA DE HIERARQUIA (Normas ISPTLO) | Azul=PhD | Verde=Mestre/MSc | Cinzento=Licenciado</t>
  </si>
  <si>
    <t>🔵 PhD — Nível 1 | Pode presidir júris</t>
  </si>
  <si>
    <t>🟢 Mestre/MSc — Nível 2 | Arguente, Tutor, Co-tutor</t>
  </si>
  <si>
    <t>⚪ Licenciado — Nível 3 | Secretário, Co-tutor por despacho</t>
  </si>
  <si>
    <t>REGISTO DE BANCAS DE JÚRI — DATA ENTRY OPERACIONAL</t>
  </si>
  <si>
    <t>Campos em AZUL (🔵) = input manual | Listas suspensas (▼) = selecção obrigatória | Valores calculados automaticamente via VLOOKUP</t>
  </si>
  <si>
    <t>Nº</t>
  </si>
  <si>
    <t>Nº Despacho
Nomeação</t>
  </si>
  <si>
    <t>Data
Despacho</t>
  </si>
  <si>
    <t>Acto ▼
(Pré-Def./Def.)</t>
  </si>
  <si>
    <t>Estudante(s)
— Nome(s)</t>
  </si>
  <si>
    <t>Título do TFC</t>
  </si>
  <si>
    <t>Curso / Dept. ▼</t>
  </si>
  <si>
    <t>Tipo ▼
(Ind./Dupla)</t>
  </si>
  <si>
    <t>Data Pré-Defesa</t>
  </si>
  <si>
    <t>Data Defesa</t>
  </si>
  <si>
    <t>Mês/Ano
Ref. (auto)</t>
  </si>
  <si>
    <t>Presidente ▼
(PhD)</t>
  </si>
  <si>
    <t>1º Vogal ▼
(MSc+)</t>
  </si>
  <si>
    <t>2º Vogal Tutor ▼</t>
  </si>
  <si>
    <t>Co-tutor ▼
(se design.)</t>
  </si>
  <si>
    <t>Secretário ▼
(Lic.)</t>
  </si>
  <si>
    <t>Resultado ▼</t>
  </si>
  <si>
    <t>Observações</t>
  </si>
  <si>
    <t>DESP-TFC-001/2026</t>
  </si>
  <si>
    <t>01/02/2026</t>
  </si>
  <si>
    <t>António Sebastião</t>
  </si>
  <si>
    <t>Gestão da Qualidade no Ensino Superior em Angola</t>
  </si>
  <si>
    <t>10/02/2026</t>
  </si>
  <si>
    <t>15/02/2026</t>
  </si>
  <si>
    <t>—</t>
  </si>
  <si>
    <t>DESP-TFC-002/2026</t>
  </si>
  <si>
    <t>05/02/2026</t>
  </si>
  <si>
    <t>Maria da Conceição / Pedro Lopes</t>
  </si>
  <si>
    <t>Impacto da Digitalização na Gestão Pública</t>
  </si>
  <si>
    <t>12/02/2026</t>
  </si>
  <si>
    <t>18/02/2026</t>
  </si>
  <si>
    <t>Eng. Valdim Seferino</t>
  </si>
  <si>
    <t>DESP-TFC-003/2026</t>
  </si>
  <si>
    <t>10/03/2026</t>
  </si>
  <si>
    <t>Elisabete Nzola</t>
  </si>
  <si>
    <t>Métodos Pedagógicos no Ensino Rural em Angola</t>
  </si>
  <si>
    <t>20/03/2026</t>
  </si>
  <si>
    <t>25/03/2026</t>
  </si>
  <si>
    <t>LANÇAMENTOS — DETALHE POR SESSÃO (Livro de Razão) | IRT NÃO calculado aqui</t>
  </si>
  <si>
    <t>⚠ Esta folha regista APENAS o valor bruto por participação. A retenção de IRT (6,5%) é calculada sobre o TOTAL MENSAL na folha RESUMO_IRT.</t>
  </si>
  <si>
    <t>Nº Despacho
(de REGISTO)</t>
  </si>
  <si>
    <t>Nome do Docente ▼</t>
  </si>
  <si>
    <t>Categoria /
Nível</t>
  </si>
  <si>
    <t>Função ▼</t>
  </si>
  <si>
    <t>Data
Acto</t>
  </si>
  <si>
    <t>Mês/Ano
(auto)</t>
  </si>
  <si>
    <t>Valor Bruto
Sessão (Kz)</t>
  </si>
  <si>
    <t>MSc</t>
  </si>
  <si>
    <t>Lic</t>
  </si>
  <si>
    <t>TOTAL BRUTO LANÇAMENTOS (sem IRT)</t>
  </si>
  <si>
    <t>🧾 RESUMO IRT — CÁLCULO DE RETENÇÃO MENSAL POR DOCENTE</t>
  </si>
  <si>
    <t>⭐ REGRA FISCAL IMPERATIVA: O IRT de 6,5% é calculado sobre o TOTAL BRUTO MENSAL por docente (soma de TODAS as participações no mês), NÃO por sessão individual — C.I.R.T. Lei nº 19/14 Art.º 67</t>
  </si>
  <si>
    <t>EXEMPLO: Ideleichy Lombillo — Mar/2026: 20.000 (presidente indiv.) + 27.500 (presidente dupla) + 104.000 (tutora dupla) = TOTAL 151.500 Kz → IRT = 151.500 × 6,5% = 9.847,50 Kz → LÍQUIDO = 141.652,50 Kz</t>
  </si>
  <si>
    <t>Nome do Docente</t>
  </si>
  <si>
    <t>Mês/Ano
Referência</t>
  </si>
  <si>
    <t>Total Bruto
Mensal (Kz)</t>
  </si>
  <si>
    <t>IRT 6,5%
(sobre total)</t>
  </si>
  <si>
    <t>Valor Líquido
a Pagar (Kz)</t>
  </si>
  <si>
    <t>Valor
Pago (Kz)</t>
  </si>
  <si>
    <t>Saldo em
Atraso (Kz)</t>
  </si>
  <si>
    <t>Data de
Pagamento</t>
  </si>
  <si>
    <t>Canal de
Pagamento</t>
  </si>
  <si>
    <t>Comprovativo
(Ref./Nº)</t>
  </si>
  <si>
    <t>Estado</t>
  </si>
  <si>
    <t>TOTAIS GERAIS (RESUMO IRT)</t>
  </si>
  <si>
    <t>Actualizado em: 01/05/2026 | Partilha mensal: Vice-Presidência Académica + Directores de Departamento (Acordo 1.3)</t>
  </si>
  <si>
    <t>TOTAL BRUTO
(todos os lançamentos)</t>
  </si>
  <si>
    <t>TOTAL IRT
Retido (a entregar AGT)</t>
  </si>
  <si>
    <t>TOTAL LÍQUIDO
a Transferir</t>
  </si>
  <si>
    <t>Soma de todos os valores brutos por sessão</t>
  </si>
  <si>
    <t>6,5% sobre total mensal/docente → AGT</t>
  </si>
  <si>
    <t>Valor efectivo a pagar aos docentes</t>
  </si>
  <si>
    <t>⚠ TOTAL IRT A ENTREGAR À AGT: O valor na célula D6 deve ser declarado e entregue à Administração Geral Tributária nos termos do C.I.R.T. (Lei nº 19/14). Prazo: até ao dia 20 do mês seguinte ao do pagamento.</t>
  </si>
  <si>
    <t>RESUMO POR ESTADO DE PAGAMENTO (baseado em RESUMO_IRT)</t>
  </si>
  <si>
    <t>Nº Docentes</t>
  </si>
  <si>
    <t>Total Bruto (Kz)</t>
  </si>
  <si>
    <t>IRT (Kz)</t>
  </si>
  <si>
    <t>% do Bruto Total</t>
  </si>
  <si>
    <t>RESUMO MENSAL — BRUTO / IRT / LÍQUIDO / SALDO EM ATRASO</t>
  </si>
  <si>
    <t>Mês/Ano</t>
  </si>
  <si>
    <t>Nº Participações</t>
  </si>
  <si>
    <t>Bruto Total (Kz)</t>
  </si>
  <si>
    <t>IRT Total (Kz)</t>
  </si>
  <si>
    <t>Líquido Total (Kz)</t>
  </si>
  <si>
    <t>Saldo em Atraso (Kz)</t>
  </si>
  <si>
    <t>RESUMO POR DOCENTE — TOTAL BRUTO / IRT / LÍQUIDO / ESTADO</t>
  </si>
  <si>
    <t>Docente</t>
  </si>
  <si>
    <t>Meses Activos</t>
  </si>
  <si>
    <t>Total IRT (Kz)</t>
  </si>
  <si>
    <t>Total Líquido (Kz)</t>
  </si>
  <si>
    <t>Estado Geral</t>
  </si>
  <si>
    <t>📋 NOTA DE CONFORMIDADE FISCAL: O valor total de IRT retido (célula D6) deve ser declarado à AGT até ao dia 20 do mês seguinte, através do formulário de Retenção na Fonte. O ISPTLO é responsável tributário pela retenção e entrega. Base legal: C.I.R.T. Lei nº 19/14, Art.º 67.</t>
  </si>
  <si>
    <t>BLOCO DE CONTROLO DOCUMENTAL</t>
  </si>
  <si>
    <t>Data de Elaboração:</t>
  </si>
  <si>
    <t>Elaborado por:</t>
  </si>
  <si>
    <t>[Nome e Cargo — Tesouraria]</t>
  </si>
  <si>
    <t>Departamento:</t>
  </si>
  <si>
    <t>[Nome, Grau, Cargo — Presidência]</t>
  </si>
  <si>
    <t>Data de Aprovação:</t>
  </si>
  <si>
    <t>[DD/MM/AAAA]</t>
  </si>
  <si>
    <t>Notificados:</t>
  </si>
  <si>
    <t>[Nomes dos Chefes de Departamento]</t>
  </si>
  <si>
    <t>Data de Notificação:</t>
  </si>
  <si>
    <t>Próxima Actualização:</t>
  </si>
  <si>
    <t>[Último dia útil do próximo mês]</t>
  </si>
  <si>
    <t>Acordo de Referência:</t>
  </si>
  <si>
    <t>Acordo 1.3 — Acta da Comissão de Júris de 28/04/2026</t>
  </si>
  <si>
    <t>ISPTLO | Ref.: Acordo 1.3 — Acta 28/04/2026 | D.P. nº 191/18 (ECDES) | C.I.R.T. Lei nº 19/14 | Ofício 009/25 + Emenda DASG 023/2025 | v3.0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</si>
</sst>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&quot; Kz&quot;;\(#,##0&quot; Kz)&quot;;\-"/>
    <numFmt numFmtId="177" formatCode="0.0%"/>
  </numFmts>
  <fonts count="60">
    <font>
      <sz val="11"/>
      <color theme="1"/>
      <name val="Calibri"/>
      <charset val="1"/>
    </font>
    <font>
      <b/>
      <sz val="14"/>
      <color rgb="FFFFFFFF"/>
      <name val="Arial"/>
      <charset val="1"/>
    </font>
    <font>
      <b/>
      <sz val="9"/>
      <color rgb="FFCCDDFF"/>
      <name val="Arial"/>
      <charset val="1"/>
    </font>
    <font>
      <b/>
      <sz val="9"/>
      <color rgb="FFFFFFFF"/>
      <name val="Arial"/>
      <charset val="1"/>
    </font>
    <font>
      <b/>
      <sz val="20"/>
      <color rgb="FFFFFFFF"/>
      <name val="Arial"/>
      <charset val="1"/>
    </font>
    <font>
      <i/>
      <sz val="8"/>
      <color rgb="FF777777"/>
      <name val="Arial"/>
      <charset val="1"/>
    </font>
    <font>
      <sz val="9"/>
      <color rgb="FFC0000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375623"/>
      <name val="Arial"/>
      <charset val="1"/>
    </font>
    <font>
      <b/>
      <sz val="10"/>
      <color rgb="FFC00000"/>
      <name val="Arial"/>
      <charset val="1"/>
    </font>
    <font>
      <b/>
      <sz val="10"/>
      <color rgb="FF8B4000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sz val="10"/>
      <color rgb="FFC00000"/>
      <name val="Arial"/>
      <charset val="1"/>
    </font>
    <font>
      <b/>
      <sz val="10"/>
      <color rgb="FF1E7145"/>
      <name val="Arial"/>
      <charset val="1"/>
    </font>
    <font>
      <b/>
      <sz val="10"/>
      <color rgb="FF000000"/>
      <name val="Arial"/>
      <charset val="1"/>
    </font>
    <font>
      <b/>
      <sz val="10"/>
      <color rgb="FF0070C0"/>
      <name val="Arial"/>
      <charset val="1"/>
    </font>
    <font>
      <b/>
      <sz val="12"/>
      <color rgb="FFFFD700"/>
      <name val="Arial"/>
      <charset val="1"/>
    </font>
    <font>
      <sz val="10"/>
      <color rgb="FF0070C0"/>
      <name val="Arial"/>
      <charset val="1"/>
    </font>
    <font>
      <b/>
      <sz val="11"/>
      <color rgb="FFFFD700"/>
      <name val="Arial"/>
      <charset val="1"/>
    </font>
    <font>
      <sz val="10"/>
      <color rgb="FF1E7145"/>
      <name val="Arial"/>
      <charset val="1"/>
    </font>
    <font>
      <b/>
      <sz val="9"/>
      <color rgb="FF8B4000"/>
      <name val="Arial"/>
      <charset val="1"/>
    </font>
    <font>
      <sz val="10"/>
      <color rgb="FF375623"/>
      <name val="Arial"/>
      <charset val="1"/>
    </font>
    <font>
      <b/>
      <sz val="10"/>
      <color rgb="FF005A5B"/>
      <name val="Arial"/>
      <charset val="1"/>
    </font>
    <font>
      <sz val="10"/>
      <color rgb="FF4A235A"/>
      <name val="Arial"/>
      <charset val="1"/>
    </font>
    <font>
      <sz val="10"/>
      <color rgb="FF444444"/>
      <name val="Arial"/>
      <charset val="1"/>
    </font>
    <font>
      <i/>
      <sz val="10"/>
      <color rgb="FF000000"/>
      <name val="Arial"/>
      <charset val="1"/>
    </font>
    <font>
      <sz val="10"/>
      <color rgb="FF1F3864"/>
      <name val="Arial"/>
      <charset val="1"/>
    </font>
    <font>
      <b/>
      <sz val="10"/>
      <color rgb="FF444444"/>
      <name val="Arial"/>
      <charset val="1"/>
    </font>
    <font>
      <b/>
      <sz val="9"/>
      <color rgb="FF1F3864"/>
      <name val="Arial"/>
      <charset val="1"/>
    </font>
    <font>
      <b/>
      <sz val="9"/>
      <color rgb="FF375623"/>
      <name val="Arial"/>
      <charset val="1"/>
    </font>
    <font>
      <b/>
      <sz val="9"/>
      <color rgb="FF444444"/>
      <name val="Arial"/>
      <charset val="1"/>
    </font>
    <font>
      <i/>
      <sz val="10"/>
      <color rgb="FF555555"/>
      <name val="Arial"/>
      <charset val="1"/>
    </font>
    <font>
      <sz val="9"/>
      <color rgb="FF000000"/>
      <name val="Arial"/>
      <charset val="1"/>
    </font>
    <font>
      <sz val="9"/>
      <color rgb="FF0070C0"/>
      <name val="Arial"/>
      <charset val="1"/>
    </font>
    <font>
      <b/>
      <sz val="9"/>
      <color rgb="FF1E7145"/>
      <name val="Arial"/>
      <charset val="1"/>
    </font>
    <font>
      <sz val="9"/>
      <color rgb="FF8B4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52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2E5088"/>
        <bgColor rgb="FF1A5276"/>
      </patternFill>
    </fill>
    <fill>
      <patternFill patternType="solid">
        <fgColor rgb="FFC00000"/>
        <bgColor rgb="FF800000"/>
      </patternFill>
    </fill>
    <fill>
      <patternFill patternType="solid">
        <fgColor rgb="FF1E7145"/>
        <bgColor rgb="FF105B2F"/>
      </patternFill>
    </fill>
    <fill>
      <patternFill patternType="solid">
        <fgColor rgb="FFF2F2F2"/>
        <bgColor rgb="FFE8F4E8"/>
      </patternFill>
    </fill>
    <fill>
      <patternFill patternType="solid">
        <fgColor rgb="FFFFCCCC"/>
        <bgColor rgb="FFEAD1DC"/>
      </patternFill>
    </fill>
    <fill>
      <patternFill patternType="solid">
        <fgColor rgb="FFC6EFCE"/>
        <bgColor rgb="FFD5F5E3"/>
      </patternFill>
    </fill>
    <fill>
      <patternFill patternType="solid">
        <fgColor rgb="FFFFE5CC"/>
        <bgColor rgb="FFFFE8E8"/>
      </patternFill>
    </fill>
    <fill>
      <patternFill patternType="solid">
        <fgColor rgb="FFFFFFFF"/>
        <bgColor rgb="FFFFF8EE"/>
      </patternFill>
    </fill>
    <fill>
      <patternFill patternType="solid">
        <fgColor rgb="FFFFE8E8"/>
        <bgColor rgb="FFFFE5CC"/>
      </patternFill>
    </fill>
    <fill>
      <patternFill patternType="solid">
        <fgColor rgb="FFFFFF99"/>
        <bgColor rgb="FFFFE5CC"/>
      </patternFill>
    </fill>
    <fill>
      <patternFill patternType="solid">
        <fgColor rgb="FFDDEEFF"/>
        <bgColor rgb="FFE8F4E8"/>
      </patternFill>
    </fill>
    <fill>
      <patternFill patternType="solid">
        <fgColor rgb="FFD5F5E3"/>
        <bgColor rgb="FFE8F4E8"/>
      </patternFill>
    </fill>
    <fill>
      <patternFill patternType="solid">
        <fgColor rgb="FFD9D9D9"/>
        <bgColor rgb="FFEAD1DC"/>
      </patternFill>
    </fill>
    <fill>
      <patternFill patternType="solid">
        <fgColor rgb="FF005A5B"/>
        <bgColor rgb="FF105B2F"/>
      </patternFill>
    </fill>
    <fill>
      <patternFill patternType="solid">
        <fgColor rgb="FF4A235A"/>
        <bgColor rgb="FF444444"/>
      </patternFill>
    </fill>
    <fill>
      <patternFill patternType="solid">
        <fgColor rgb="FFEAD1DC"/>
        <bgColor rgb="FFD9D9D9"/>
      </patternFill>
    </fill>
    <fill>
      <patternFill patternType="solid">
        <fgColor rgb="FFE8F4E8"/>
        <bgColor rgb="FFF2F2F2"/>
      </patternFill>
    </fill>
    <fill>
      <patternFill patternType="solid">
        <fgColor rgb="FFFFF8EE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 style="medium">
        <color rgb="FF1E7145"/>
      </left>
      <right/>
      <top style="medium">
        <color rgb="FF1E7145"/>
      </top>
      <bottom style="medium">
        <color rgb="FF1E7145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8" fillId="0" borderId="0" applyBorder="0" applyAlignment="0" applyProtection="0"/>
    <xf numFmtId="44" fontId="38" fillId="0" borderId="0" applyBorder="0" applyAlignment="0" applyProtection="0"/>
    <xf numFmtId="9" fontId="38" fillId="0" borderId="0" applyBorder="0" applyAlignment="0" applyProtection="0"/>
    <xf numFmtId="41" fontId="38" fillId="0" borderId="0" applyBorder="0" applyAlignment="0" applyProtection="0"/>
    <xf numFmtId="42" fontId="38" fillId="0" borderId="0" applyBorder="0" applyAlignment="0" applyProtection="0"/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21" borderId="8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7" fillId="0" borderId="10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2" borderId="11" applyNumberFormat="0" applyAlignment="0" applyProtection="0">
      <alignment vertical="center"/>
    </xf>
    <xf numFmtId="0" fontId="49" fillId="23" borderId="12" applyNumberFormat="0" applyAlignment="0" applyProtection="0">
      <alignment vertical="center"/>
    </xf>
    <xf numFmtId="0" fontId="50" fillId="23" borderId="11" applyNumberFormat="0" applyAlignment="0" applyProtection="0">
      <alignment vertical="center"/>
    </xf>
    <xf numFmtId="0" fontId="51" fillId="24" borderId="13" applyNumberFormat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8" fillId="41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6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</cellStyleXfs>
  <cellXfs count="1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176" fontId="4" fillId="4" borderId="3" xfId="0" applyNumberFormat="1" applyFont="1" applyFill="1" applyBorder="1" applyAlignment="1">
      <alignment horizontal="center" vertical="center"/>
    </xf>
    <xf numFmtId="176" fontId="4" fillId="5" borderId="4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/>
    </xf>
    <xf numFmtId="176" fontId="9" fillId="8" borderId="7" xfId="0" applyNumberFormat="1" applyFont="1" applyFill="1" applyBorder="1" applyAlignment="1">
      <alignment horizontal="right" vertical="center"/>
    </xf>
    <xf numFmtId="177" fontId="9" fillId="8" borderId="7" xfId="0" applyNumberFormat="1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176" fontId="10" fillId="7" borderId="7" xfId="0" applyNumberFormat="1" applyFont="1" applyFill="1" applyBorder="1" applyAlignment="1">
      <alignment horizontal="right" vertical="center"/>
    </xf>
    <xf numFmtId="177" fontId="10" fillId="7" borderId="7" xfId="0" applyNumberFormat="1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176" fontId="11" fillId="9" borderId="7" xfId="0" applyNumberFormat="1" applyFont="1" applyFill="1" applyBorder="1" applyAlignment="1">
      <alignment horizontal="right" vertical="center"/>
    </xf>
    <xf numFmtId="177" fontId="11" fillId="9" borderId="7" xfId="0" applyNumberFormat="1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176" fontId="13" fillId="10" borderId="7" xfId="0" applyNumberFormat="1" applyFont="1" applyFill="1" applyBorder="1" applyAlignment="1">
      <alignment horizontal="right" vertical="center"/>
    </xf>
    <xf numFmtId="176" fontId="14" fillId="10" borderId="7" xfId="0" applyNumberFormat="1" applyFont="1" applyFill="1" applyBorder="1" applyAlignment="1">
      <alignment horizontal="right" vertical="center"/>
    </xf>
    <xf numFmtId="176" fontId="15" fillId="10" borderId="7" xfId="0" applyNumberFormat="1" applyFont="1" applyFill="1" applyBorder="1" applyAlignment="1">
      <alignment horizontal="right" vertical="center"/>
    </xf>
    <xf numFmtId="0" fontId="12" fillId="6" borderId="7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176" fontId="13" fillId="6" borderId="7" xfId="0" applyNumberFormat="1" applyFont="1" applyFill="1" applyBorder="1" applyAlignment="1">
      <alignment horizontal="right" vertical="center"/>
    </xf>
    <xf numFmtId="176" fontId="14" fillId="6" borderId="7" xfId="0" applyNumberFormat="1" applyFont="1" applyFill="1" applyBorder="1" applyAlignment="1">
      <alignment horizontal="right" vertical="center"/>
    </xf>
    <xf numFmtId="176" fontId="15" fillId="6" borderId="7" xfId="0" applyNumberFormat="1" applyFont="1" applyFill="1" applyBorder="1" applyAlignment="1">
      <alignment horizontal="right" vertical="center"/>
    </xf>
    <xf numFmtId="176" fontId="10" fillId="11" borderId="7" xfId="0" applyNumberFormat="1" applyFont="1" applyFill="1" applyBorder="1" applyAlignment="1">
      <alignment horizontal="right" vertical="center"/>
    </xf>
    <xf numFmtId="0" fontId="16" fillId="10" borderId="7" xfId="0" applyFont="1" applyFill="1" applyBorder="1" applyAlignment="1">
      <alignment horizontal="left" vertical="center"/>
    </xf>
    <xf numFmtId="176" fontId="17" fillId="10" borderId="7" xfId="0" applyNumberFormat="1" applyFont="1" applyFill="1" applyBorder="1" applyAlignment="1">
      <alignment horizontal="right" vertical="center"/>
    </xf>
    <xf numFmtId="176" fontId="10" fillId="10" borderId="7" xfId="0" applyNumberFormat="1" applyFont="1" applyFill="1" applyBorder="1" applyAlignment="1">
      <alignment horizontal="right" vertical="center"/>
    </xf>
    <xf numFmtId="0" fontId="16" fillId="6" borderId="7" xfId="0" applyFont="1" applyFill="1" applyBorder="1" applyAlignment="1">
      <alignment horizontal="left" vertical="center"/>
    </xf>
    <xf numFmtId="176" fontId="17" fillId="6" borderId="7" xfId="0" applyNumberFormat="1" applyFont="1" applyFill="1" applyBorder="1" applyAlignment="1">
      <alignment horizontal="right" vertical="center"/>
    </xf>
    <xf numFmtId="176" fontId="10" fillId="6" borderId="7" xfId="0" applyNumberFormat="1" applyFont="1" applyFill="1" applyBorder="1" applyAlignment="1">
      <alignment horizontal="right" vertical="center"/>
    </xf>
    <xf numFmtId="0" fontId="18" fillId="2" borderId="1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right" vertical="center"/>
    </xf>
    <xf numFmtId="0" fontId="13" fillId="6" borderId="5" xfId="0" applyFont="1" applyFill="1" applyBorder="1" applyAlignment="1">
      <alignment horizontal="left" vertical="center"/>
    </xf>
    <xf numFmtId="0" fontId="19" fillId="12" borderId="5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/>
    </xf>
    <xf numFmtId="176" fontId="17" fillId="12" borderId="7" xfId="0" applyNumberFormat="1" applyFont="1" applyFill="1" applyBorder="1" applyAlignment="1">
      <alignment horizontal="right" vertical="center"/>
    </xf>
    <xf numFmtId="176" fontId="15" fillId="8" borderId="7" xfId="0" applyNumberFormat="1" applyFont="1" applyFill="1" applyBorder="1" applyAlignment="1">
      <alignment horizontal="right" vertical="center"/>
    </xf>
    <xf numFmtId="176" fontId="19" fillId="12" borderId="7" xfId="0" applyNumberFormat="1" applyFont="1" applyFill="1" applyBorder="1" applyAlignment="1">
      <alignment horizontal="right" vertical="center"/>
    </xf>
    <xf numFmtId="0" fontId="19" fillId="12" borderId="7" xfId="0" applyFont="1" applyFill="1" applyBorder="1" applyAlignment="1">
      <alignment horizontal="left" vertical="center"/>
    </xf>
    <xf numFmtId="0" fontId="16" fillId="10" borderId="7" xfId="0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left" vertical="center"/>
    </xf>
    <xf numFmtId="0" fontId="19" fillId="12" borderId="7" xfId="0" applyFont="1" applyFill="1" applyBorder="1" applyAlignment="1">
      <alignment horizontal="center" vertical="center"/>
    </xf>
    <xf numFmtId="176" fontId="21" fillId="6" borderId="7" xfId="0" applyNumberFormat="1" applyFont="1" applyFill="1" applyBorder="1" applyAlignment="1">
      <alignment horizontal="right" vertical="center"/>
    </xf>
    <xf numFmtId="0" fontId="13" fillId="6" borderId="7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right" vertical="center"/>
    </xf>
    <xf numFmtId="176" fontId="7" fillId="2" borderId="2" xfId="0" applyNumberFormat="1" applyFont="1" applyFill="1" applyBorder="1" applyAlignment="1">
      <alignment horizontal="right" vertical="center"/>
    </xf>
    <xf numFmtId="0" fontId="0" fillId="2" borderId="2" xfId="0" applyFill="1" applyBorder="1"/>
    <xf numFmtId="0" fontId="16" fillId="13" borderId="7" xfId="0" applyFont="1" applyFill="1" applyBorder="1" applyAlignment="1">
      <alignment horizontal="center" vertical="center"/>
    </xf>
    <xf numFmtId="0" fontId="19" fillId="13" borderId="7" xfId="0" applyFont="1" applyFill="1" applyBorder="1" applyAlignment="1">
      <alignment horizontal="left" vertical="center"/>
    </xf>
    <xf numFmtId="0" fontId="16" fillId="13" borderId="7" xfId="0" applyFont="1" applyFill="1" applyBorder="1" applyAlignment="1">
      <alignment horizontal="left" vertical="center"/>
    </xf>
    <xf numFmtId="0" fontId="13" fillId="13" borderId="7" xfId="0" applyFont="1" applyFill="1" applyBorder="1" applyAlignment="1">
      <alignment horizontal="center" vertical="center"/>
    </xf>
    <xf numFmtId="0" fontId="19" fillId="13" borderId="7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horizontal="left" vertical="center"/>
    </xf>
    <xf numFmtId="0" fontId="16" fillId="8" borderId="7" xfId="0" applyFont="1" applyFill="1" applyBorder="1" applyAlignment="1">
      <alignment horizontal="left" vertical="center"/>
    </xf>
    <xf numFmtId="0" fontId="13" fillId="8" borderId="7" xfId="0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horizontal="center" vertical="center"/>
    </xf>
    <xf numFmtId="0" fontId="16" fillId="14" borderId="7" xfId="0" applyFont="1" applyFill="1" applyBorder="1" applyAlignment="1">
      <alignment horizontal="center" vertical="center"/>
    </xf>
    <xf numFmtId="0" fontId="19" fillId="14" borderId="7" xfId="0" applyFont="1" applyFill="1" applyBorder="1" applyAlignment="1">
      <alignment horizontal="left" vertical="center"/>
    </xf>
    <xf numFmtId="0" fontId="16" fillId="14" borderId="7" xfId="0" applyFont="1" applyFill="1" applyBorder="1" applyAlignment="1">
      <alignment horizontal="left" vertical="center"/>
    </xf>
    <xf numFmtId="0" fontId="13" fillId="14" borderId="7" xfId="0" applyFont="1" applyFill="1" applyBorder="1" applyAlignment="1">
      <alignment horizontal="center" vertical="center"/>
    </xf>
    <xf numFmtId="0" fontId="19" fillId="14" borderId="7" xfId="0" applyFont="1" applyFill="1" applyBorder="1" applyAlignment="1">
      <alignment horizontal="center" vertical="center"/>
    </xf>
    <xf numFmtId="0" fontId="16" fillId="15" borderId="7" xfId="0" applyFont="1" applyFill="1" applyBorder="1" applyAlignment="1">
      <alignment horizontal="center" vertical="center"/>
    </xf>
    <xf numFmtId="0" fontId="19" fillId="15" borderId="7" xfId="0" applyFont="1" applyFill="1" applyBorder="1" applyAlignment="1">
      <alignment horizontal="left" vertical="center"/>
    </xf>
    <xf numFmtId="0" fontId="16" fillId="15" borderId="7" xfId="0" applyFont="1" applyFill="1" applyBorder="1" applyAlignment="1">
      <alignment horizontal="left" vertical="center"/>
    </xf>
    <xf numFmtId="0" fontId="13" fillId="15" borderId="7" xfId="0" applyFont="1" applyFill="1" applyBorder="1" applyAlignment="1">
      <alignment horizontal="center" vertical="center"/>
    </xf>
    <xf numFmtId="0" fontId="19" fillId="15" borderId="7" xfId="0" applyFont="1" applyFill="1" applyBorder="1" applyAlignment="1">
      <alignment horizontal="center" vertical="center"/>
    </xf>
    <xf numFmtId="176" fontId="16" fillId="8" borderId="7" xfId="0" applyNumberFormat="1" applyFont="1" applyFill="1" applyBorder="1" applyAlignment="1">
      <alignment horizontal="right" vertical="center"/>
    </xf>
    <xf numFmtId="0" fontId="22" fillId="9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16" borderId="6" xfId="0" applyFont="1" applyFill="1" applyBorder="1" applyAlignment="1">
      <alignment horizontal="center" vertical="center" wrapText="1"/>
    </xf>
    <xf numFmtId="0" fontId="3" fillId="17" borderId="6" xfId="0" applyFont="1" applyFill="1" applyBorder="1" applyAlignment="1">
      <alignment horizontal="center" vertical="center" wrapText="1"/>
    </xf>
    <xf numFmtId="0" fontId="3" fillId="15" borderId="6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/>
    </xf>
    <xf numFmtId="0" fontId="19" fillId="12" borderId="7" xfId="0" applyFont="1" applyFill="1" applyBorder="1" applyAlignment="1">
      <alignment horizontal="left" vertical="center" wrapText="1"/>
    </xf>
    <xf numFmtId="0" fontId="12" fillId="13" borderId="7" xfId="0" applyFont="1" applyFill="1" applyBorder="1" applyAlignment="1">
      <alignment horizontal="left" vertical="center"/>
    </xf>
    <xf numFmtId="0" fontId="23" fillId="8" borderId="7" xfId="0" applyFont="1" applyFill="1" applyBorder="1" applyAlignment="1">
      <alignment horizontal="left" vertical="center"/>
    </xf>
    <xf numFmtId="0" fontId="24" fillId="14" borderId="7" xfId="0" applyFont="1" applyFill="1" applyBorder="1" applyAlignment="1">
      <alignment horizontal="left" vertical="center"/>
    </xf>
    <xf numFmtId="0" fontId="25" fillId="18" borderId="7" xfId="0" applyFont="1" applyFill="1" applyBorder="1" applyAlignment="1">
      <alignment horizontal="left" vertical="center"/>
    </xf>
    <xf numFmtId="0" fontId="26" fillId="15" borderId="7" xfId="0" applyFont="1" applyFill="1" applyBorder="1" applyAlignment="1">
      <alignment horizontal="left" vertical="center"/>
    </xf>
    <xf numFmtId="0" fontId="27" fillId="6" borderId="7" xfId="0" applyFont="1" applyFill="1" applyBorder="1" applyAlignment="1">
      <alignment horizontal="left" vertical="center"/>
    </xf>
    <xf numFmtId="0" fontId="15" fillId="10" borderId="7" xfId="0" applyFont="1" applyFill="1" applyBorder="1" applyAlignment="1">
      <alignment horizontal="center" vertical="center"/>
    </xf>
    <xf numFmtId="0" fontId="27" fillId="10" borderId="7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8" fillId="13" borderId="7" xfId="0" applyFont="1" applyFill="1" applyBorder="1" applyAlignment="1">
      <alignment horizontal="center" vertical="center"/>
    </xf>
    <xf numFmtId="0" fontId="13" fillId="13" borderId="7" xfId="0" applyFont="1" applyFill="1" applyBorder="1" applyAlignment="1">
      <alignment horizontal="left" vertical="center"/>
    </xf>
    <xf numFmtId="0" fontId="28" fillId="13" borderId="7" xfId="0" applyFont="1" applyFill="1" applyBorder="1" applyAlignment="1">
      <alignment horizontal="left" vertical="center" wrapText="1"/>
    </xf>
    <xf numFmtId="0" fontId="16" fillId="19" borderId="7" xfId="0" applyFont="1" applyFill="1" applyBorder="1" applyAlignment="1">
      <alignment horizontal="center" vertical="center"/>
    </xf>
    <xf numFmtId="0" fontId="9" fillId="19" borderId="7" xfId="0" applyFont="1" applyFill="1" applyBorder="1" applyAlignment="1">
      <alignment horizontal="left" vertical="center"/>
    </xf>
    <xf numFmtId="0" fontId="23" fillId="19" borderId="7" xfId="0" applyFont="1" applyFill="1" applyBorder="1" applyAlignment="1">
      <alignment horizontal="center" vertical="center"/>
    </xf>
    <xf numFmtId="0" fontId="13" fillId="19" borderId="7" xfId="0" applyFont="1" applyFill="1" applyBorder="1" applyAlignment="1">
      <alignment horizontal="left" vertical="center"/>
    </xf>
    <xf numFmtId="0" fontId="23" fillId="19" borderId="7" xfId="0" applyFont="1" applyFill="1" applyBorder="1" applyAlignment="1">
      <alignment horizontal="left" vertical="center" wrapText="1"/>
    </xf>
    <xf numFmtId="0" fontId="29" fillId="6" borderId="7" xfId="0" applyFont="1" applyFill="1" applyBorder="1" applyAlignment="1">
      <alignment horizontal="left" vertical="center"/>
    </xf>
    <xf numFmtId="0" fontId="26" fillId="6" borderId="7" xfId="0" applyFont="1" applyFill="1" applyBorder="1" applyAlignment="1">
      <alignment horizontal="center" vertical="center"/>
    </xf>
    <xf numFmtId="0" fontId="26" fillId="6" borderId="7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0" fillId="13" borderId="5" xfId="0" applyFont="1" applyFill="1" applyBorder="1" applyAlignment="1">
      <alignment horizontal="left" vertical="center"/>
    </xf>
    <xf numFmtId="0" fontId="31" fillId="19" borderId="5" xfId="0" applyFont="1" applyFill="1" applyBorder="1" applyAlignment="1">
      <alignment horizontal="left" vertical="center"/>
    </xf>
    <xf numFmtId="0" fontId="32" fillId="6" borderId="5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33" fillId="10" borderId="7" xfId="0" applyFont="1" applyFill="1" applyBorder="1" applyAlignment="1">
      <alignment horizontal="left" vertical="center" wrapText="1"/>
    </xf>
    <xf numFmtId="0" fontId="33" fillId="6" borderId="7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0" fillId="6" borderId="7" xfId="0" applyFont="1" applyFill="1" applyBorder="1" applyAlignment="1">
      <alignment horizontal="left" vertical="center"/>
    </xf>
    <xf numFmtId="0" fontId="34" fillId="6" borderId="7" xfId="0" applyFont="1" applyFill="1" applyBorder="1" applyAlignment="1">
      <alignment horizontal="left" vertical="center"/>
    </xf>
    <xf numFmtId="0" fontId="34" fillId="6" borderId="7" xfId="0" applyFont="1" applyFill="1" applyBorder="1" applyAlignment="1">
      <alignment horizontal="center" vertical="center"/>
    </xf>
    <xf numFmtId="176" fontId="35" fillId="12" borderId="7" xfId="0" applyNumberFormat="1" applyFont="1" applyFill="1" applyBorder="1" applyAlignment="1">
      <alignment horizontal="right" vertical="center"/>
    </xf>
    <xf numFmtId="176" fontId="34" fillId="6" borderId="7" xfId="0" applyNumberFormat="1" applyFont="1" applyFill="1" applyBorder="1" applyAlignment="1">
      <alignment horizontal="right" vertical="center"/>
    </xf>
    <xf numFmtId="176" fontId="36" fillId="8" borderId="7" xfId="0" applyNumberFormat="1" applyFont="1" applyFill="1" applyBorder="1" applyAlignment="1">
      <alignment horizontal="right" vertical="center"/>
    </xf>
    <xf numFmtId="0" fontId="30" fillId="10" borderId="7" xfId="0" applyFont="1" applyFill="1" applyBorder="1" applyAlignment="1">
      <alignment horizontal="left" vertical="center"/>
    </xf>
    <xf numFmtId="0" fontId="34" fillId="10" borderId="7" xfId="0" applyFont="1" applyFill="1" applyBorder="1" applyAlignment="1">
      <alignment horizontal="left" vertical="center"/>
    </xf>
    <xf numFmtId="0" fontId="34" fillId="10" borderId="7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13" fillId="13" borderId="7" xfId="0" applyFont="1" applyFill="1" applyBorder="1" applyAlignment="1">
      <alignment horizontal="left" vertical="center" wrapText="1"/>
    </xf>
    <xf numFmtId="0" fontId="12" fillId="6" borderId="7" xfId="0" applyFont="1" applyFill="1" applyBorder="1" applyAlignment="1">
      <alignment horizontal="left" vertical="center"/>
    </xf>
    <xf numFmtId="0" fontId="13" fillId="6" borderId="7" xfId="0" applyFont="1" applyFill="1" applyBorder="1" applyAlignment="1">
      <alignment horizontal="left" vertical="center" wrapText="1"/>
    </xf>
    <xf numFmtId="0" fontId="12" fillId="10" borderId="7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 wrapText="1"/>
    </xf>
    <xf numFmtId="0" fontId="10" fillId="12" borderId="7" xfId="0" applyFont="1" applyFill="1" applyBorder="1" applyAlignment="1">
      <alignment horizontal="left" vertical="center"/>
    </xf>
    <xf numFmtId="0" fontId="14" fillId="12" borderId="7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7" fillId="9" borderId="5" xfId="0" applyFont="1" applyFill="1" applyBorder="1" applyAlignment="1">
      <alignment horizontal="left" vertical="center" wrapText="1"/>
    </xf>
    <xf numFmtId="0" fontId="37" fillId="20" borderId="5" xfId="0" applyFont="1" applyFill="1" applyBorder="1" applyAlignment="1">
      <alignment horizontal="left" vertical="center" wrapText="1"/>
    </xf>
    <xf numFmtId="176" fontId="0" fillId="0" borderId="0" xfId="0" applyNumberFormat="1"/>
    <xf numFmtId="0" fontId="0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0">
    <dxf>
      <font>
        <name val="Arial"/>
        <scheme val="none"/>
        <charset val="1"/>
        <family val="0"/>
        <b val="1"/>
        <sz val="10"/>
        <color rgb="FF375623"/>
      </font>
      <fill>
        <patternFill patternType="solid">
          <bgColor rgb="FFC6EFCE"/>
        </patternFill>
      </fill>
    </dxf>
    <dxf>
      <font>
        <name val="Arial"/>
        <scheme val="none"/>
        <charset val="1"/>
        <family val="0"/>
        <b val="1"/>
        <sz val="10"/>
        <color rgb="FFC00000"/>
      </font>
      <fill>
        <patternFill patternType="solid">
          <bgColor rgb="FFFFCCCC"/>
        </patternFill>
      </fill>
    </dxf>
    <dxf>
      <font>
        <name val="Arial"/>
        <scheme val="none"/>
        <charset val="1"/>
        <family val="0"/>
        <b val="1"/>
        <sz val="10"/>
        <color rgb="FF8B4000"/>
      </font>
      <fill>
        <patternFill patternType="solid">
          <bgColor rgb="FFFFE5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05B2F"/>
      <rgbColor rgb="00000080"/>
      <rgbColor rgb="00808000"/>
      <rgbColor rgb="00800080"/>
      <rgbColor rgb="001E7145"/>
      <rgbColor rgb="00D9D9D9"/>
      <rgbColor rgb="00888888"/>
      <rgbColor rgb="009999FF"/>
      <rgbColor rgb="00555555"/>
      <rgbColor rgb="00FFF8EE"/>
      <rgbColor rgb="00DDEEFF"/>
      <rgbColor rgb="004A235A"/>
      <rgbColor rgb="00FF8080"/>
      <rgbColor rgb="000070C0"/>
      <rgbColor rgb="00CCDDFF"/>
      <rgbColor rgb="00000080"/>
      <rgbColor rgb="00FF00FF"/>
      <rgbColor rgb="00F2F2F2"/>
      <rgbColor rgb="0000FFFF"/>
      <rgbColor rgb="00800080"/>
      <rgbColor rgb="00800000"/>
      <rgbColor rgb="00005A9E"/>
      <rgbColor rgb="000000FF"/>
      <rgbColor rgb="0000CCFF"/>
      <rgbColor rgb="00E8F4E8"/>
      <rgbColor rgb="00D5F5E3"/>
      <rgbColor rgb="00FFFF99"/>
      <rgbColor rgb="00C6EFCE"/>
      <rgbColor rgb="00EAD1DC"/>
      <rgbColor rgb="00FFE5CC"/>
      <rgbColor rgb="00FFCCCC"/>
      <rgbColor rgb="001A5276"/>
      <rgbColor rgb="0033CCCC"/>
      <rgbColor rgb="0099CC00"/>
      <rgbColor rgb="00FFD700"/>
      <rgbColor rgb="00FF9900"/>
      <rgbColor rgb="00FF6600"/>
      <rgbColor rgb="00777777"/>
      <rgbColor rgb="00AAAAAA"/>
      <rgbColor rgb="001F3864"/>
      <rgbColor rgb="00339966"/>
      <rgbColor rgb="00005A5B"/>
      <rgbColor rgb="00375623"/>
      <rgbColor rgb="008B4000"/>
      <rgbColor rgb="00993366"/>
      <rgbColor rgb="002E5088"/>
      <rgbColor rgb="00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A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D9D9"/>
  </sheetPr>
  <dimension ref="A1:P13"/>
  <sheetViews>
    <sheetView workbookViewId="0">
      <selection activeCell="A1" sqref="A1"/>
    </sheetView>
  </sheetViews>
  <sheetFormatPr defaultColWidth="8.67592592592593" defaultRowHeight="14.4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L2" t="s">
        <v>25</v>
      </c>
      <c r="M2" t="s">
        <v>17</v>
      </c>
      <c r="N2" t="s">
        <v>18</v>
      </c>
      <c r="O2" s="139">
        <v>20000</v>
      </c>
      <c r="P2" s="140" t="s">
        <v>15</v>
      </c>
    </row>
    <row r="3" spans="1:16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L3" t="s">
        <v>36</v>
      </c>
      <c r="M3" t="s">
        <v>17</v>
      </c>
      <c r="N3" t="s">
        <v>29</v>
      </c>
      <c r="O3" s="139">
        <v>27500</v>
      </c>
      <c r="P3" s="140" t="s">
        <v>26</v>
      </c>
    </row>
    <row r="4" spans="1:16">
      <c r="A4" t="s">
        <v>37</v>
      </c>
      <c r="B4" t="s">
        <v>38</v>
      </c>
      <c r="C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L4" t="s">
        <v>45</v>
      </c>
      <c r="M4" t="s">
        <v>28</v>
      </c>
      <c r="N4" t="s">
        <v>18</v>
      </c>
      <c r="O4" s="139">
        <v>20000</v>
      </c>
      <c r="P4" s="140" t="s">
        <v>37</v>
      </c>
    </row>
    <row r="5" spans="1:16">
      <c r="A5" t="s">
        <v>46</v>
      </c>
      <c r="B5" t="s">
        <v>47</v>
      </c>
      <c r="C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L5" t="s">
        <v>54</v>
      </c>
      <c r="M5" t="s">
        <v>28</v>
      </c>
      <c r="N5" t="s">
        <v>29</v>
      </c>
      <c r="O5" s="139">
        <v>27500</v>
      </c>
      <c r="P5" s="140" t="s">
        <v>46</v>
      </c>
    </row>
    <row r="6" spans="1:16">
      <c r="A6" t="s">
        <v>55</v>
      </c>
      <c r="B6" t="s">
        <v>56</v>
      </c>
      <c r="C6" t="s">
        <v>57</v>
      </c>
      <c r="G6" t="s">
        <v>58</v>
      </c>
      <c r="H6" t="s">
        <v>59</v>
      </c>
      <c r="L6" t="s">
        <v>60</v>
      </c>
      <c r="M6" t="s">
        <v>39</v>
      </c>
      <c r="N6" t="s">
        <v>18</v>
      </c>
      <c r="O6" s="139">
        <v>80000</v>
      </c>
      <c r="P6" s="140" t="s">
        <v>55</v>
      </c>
    </row>
    <row r="7" spans="1:16">
      <c r="A7" t="s">
        <v>61</v>
      </c>
      <c r="G7" t="s">
        <v>62</v>
      </c>
      <c r="H7" t="s">
        <v>63</v>
      </c>
      <c r="L7" t="s">
        <v>64</v>
      </c>
      <c r="M7" t="s">
        <v>39</v>
      </c>
      <c r="N7" t="s">
        <v>29</v>
      </c>
      <c r="O7" s="139">
        <v>104000</v>
      </c>
      <c r="P7" s="140" t="s">
        <v>61</v>
      </c>
    </row>
    <row r="8" spans="1:16">
      <c r="A8" t="s">
        <v>65</v>
      </c>
      <c r="G8" t="s">
        <v>66</v>
      </c>
      <c r="H8" t="s">
        <v>67</v>
      </c>
      <c r="L8" t="s">
        <v>68</v>
      </c>
      <c r="M8" t="s">
        <v>48</v>
      </c>
      <c r="N8" t="s">
        <v>18</v>
      </c>
      <c r="O8" s="139">
        <v>40000</v>
      </c>
      <c r="P8" s="140" t="s">
        <v>65</v>
      </c>
    </row>
    <row r="9" spans="1:16">
      <c r="A9" t="s">
        <v>69</v>
      </c>
      <c r="G9" t="s">
        <v>70</v>
      </c>
      <c r="H9" t="s">
        <v>71</v>
      </c>
      <c r="L9" t="s">
        <v>72</v>
      </c>
      <c r="M9" t="s">
        <v>48</v>
      </c>
      <c r="N9" t="s">
        <v>29</v>
      </c>
      <c r="O9" s="139">
        <v>72000</v>
      </c>
      <c r="P9" s="140" t="s">
        <v>69</v>
      </c>
    </row>
    <row r="10" spans="1:16">
      <c r="A10" t="s">
        <v>73</v>
      </c>
      <c r="G10" t="s">
        <v>74</v>
      </c>
      <c r="H10" t="s">
        <v>75</v>
      </c>
      <c r="L10" t="s">
        <v>76</v>
      </c>
      <c r="M10" t="s">
        <v>57</v>
      </c>
      <c r="N10" t="s">
        <v>18</v>
      </c>
      <c r="O10" s="139">
        <v>10000</v>
      </c>
      <c r="P10" s="140" t="s">
        <v>73</v>
      </c>
    </row>
    <row r="11" spans="1:16">
      <c r="A11" t="s">
        <v>77</v>
      </c>
      <c r="G11" t="s">
        <v>78</v>
      </c>
      <c r="H11" t="s">
        <v>79</v>
      </c>
      <c r="L11" t="s">
        <v>80</v>
      </c>
      <c r="M11" t="s">
        <v>57</v>
      </c>
      <c r="N11" t="s">
        <v>29</v>
      </c>
      <c r="O11" s="139">
        <v>15000</v>
      </c>
      <c r="P11" s="140" t="s">
        <v>77</v>
      </c>
    </row>
    <row r="12" spans="1:16">
      <c r="G12" t="s">
        <v>81</v>
      </c>
      <c r="H12" t="s">
        <v>82</v>
      </c>
    </row>
    <row r="13" spans="1:16">
      <c r="G13" t="s">
        <v>83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B1:C33"/>
  <sheetViews>
    <sheetView showGridLines="0" topLeftCell="A15" workbookViewId="0">
      <selection activeCell="A1" sqref="A1"/>
    </sheetView>
  </sheetViews>
  <sheetFormatPr defaultColWidth="8.67592592592593" defaultRowHeight="14.4" outlineLevelCol="2"/>
  <cols>
    <col min="1" max="1" width="3" customWidth="1"/>
    <col min="2" max="2" width="34" customWidth="1"/>
    <col min="3" max="3" width="52" customWidth="1"/>
    <col min="4" max="4" width="3" customWidth="1"/>
  </cols>
  <sheetData>
    <row r="1" ht="15.15"/>
    <row r="2" ht="36" customHeight="1" spans="2:3">
      <c r="B2" s="1" t="s">
        <v>84</v>
      </c>
      <c r="C2" s="1"/>
    </row>
    <row r="3" ht="24" customHeight="1" spans="2:3">
      <c r="B3" s="44" t="s">
        <v>85</v>
      </c>
      <c r="C3" s="44"/>
    </row>
    <row r="4" ht="7.5" customHeight="1"/>
    <row r="5" ht="25.5" customHeight="1" spans="2:3">
      <c r="B5" s="128" t="s">
        <v>86</v>
      </c>
      <c r="C5" s="128"/>
    </row>
    <row r="7" ht="19.5" customHeight="1" spans="2:3">
      <c r="B7" s="40" t="s">
        <v>87</v>
      </c>
      <c r="C7" s="129" t="s">
        <v>88</v>
      </c>
    </row>
    <row r="8" ht="19.5" customHeight="1" spans="2:3">
      <c r="B8" s="40" t="s">
        <v>89</v>
      </c>
      <c r="C8" s="129" t="s">
        <v>90</v>
      </c>
    </row>
    <row r="9" ht="19.5" customHeight="1" spans="2:3">
      <c r="B9" s="40" t="s">
        <v>91</v>
      </c>
      <c r="C9" s="129" t="s">
        <v>92</v>
      </c>
    </row>
    <row r="10" ht="19.5" customHeight="1" spans="2:3">
      <c r="B10" s="40" t="s">
        <v>93</v>
      </c>
      <c r="C10" s="90" t="s">
        <v>94</v>
      </c>
    </row>
    <row r="11" ht="19.5" customHeight="1" spans="2:3">
      <c r="B11" s="40" t="s">
        <v>95</v>
      </c>
      <c r="C11" s="90" t="s">
        <v>96</v>
      </c>
    </row>
    <row r="12" ht="19.5" customHeight="1" spans="2:3">
      <c r="B12" s="40" t="s">
        <v>97</v>
      </c>
      <c r="C12" s="129" t="s">
        <v>98</v>
      </c>
    </row>
    <row r="13" ht="19.5" customHeight="1" spans="2:3">
      <c r="B13" s="40" t="s">
        <v>99</v>
      </c>
      <c r="C13" s="129" t="s">
        <v>100</v>
      </c>
    </row>
    <row r="14" ht="19.5" customHeight="1" spans="2:3">
      <c r="B14" s="40" t="s">
        <v>101</v>
      </c>
      <c r="C14" s="90" t="s">
        <v>102</v>
      </c>
    </row>
    <row r="15" ht="19.5" customHeight="1" spans="2:3">
      <c r="B15" s="40" t="s">
        <v>103</v>
      </c>
      <c r="C15" s="129" t="s">
        <v>104</v>
      </c>
    </row>
    <row r="16" ht="15.15"/>
    <row r="17" ht="21.75" customHeight="1" spans="2:3">
      <c r="B17" s="11" t="s">
        <v>105</v>
      </c>
      <c r="C17" s="11"/>
    </row>
    <row r="18" ht="19.5" customHeight="1" spans="2:3">
      <c r="B18" s="130" t="s">
        <v>106</v>
      </c>
      <c r="C18" s="131" t="s">
        <v>107</v>
      </c>
    </row>
    <row r="19" ht="19.5" customHeight="1" spans="2:3">
      <c r="B19" s="132" t="s">
        <v>108</v>
      </c>
      <c r="C19" s="133" t="s">
        <v>109</v>
      </c>
    </row>
    <row r="20" ht="28" customHeight="1" spans="2:3">
      <c r="B20" s="130" t="s">
        <v>110</v>
      </c>
      <c r="C20" s="131" t="s">
        <v>111</v>
      </c>
    </row>
    <row r="21" ht="19.5" customHeight="1" spans="2:3">
      <c r="B21" s="132" t="s">
        <v>112</v>
      </c>
      <c r="C21" s="133" t="s">
        <v>113</v>
      </c>
    </row>
    <row r="22" ht="30" customHeight="1" spans="2:3">
      <c r="B22" s="130" t="s">
        <v>114</v>
      </c>
      <c r="C22" s="131" t="s">
        <v>115</v>
      </c>
    </row>
    <row r="23" ht="19.5" customHeight="1" spans="2:3">
      <c r="B23" s="132" t="s">
        <v>116</v>
      </c>
      <c r="C23" s="133" t="s">
        <v>117</v>
      </c>
    </row>
    <row r="24" ht="30" customHeight="1" spans="2:3">
      <c r="B24" s="134" t="s">
        <v>118</v>
      </c>
      <c r="C24" s="135" t="s">
        <v>119</v>
      </c>
    </row>
    <row r="25" ht="19.5" customHeight="1" spans="2:3">
      <c r="B25" s="132" t="s">
        <v>120</v>
      </c>
      <c r="C25" s="133" t="s">
        <v>121</v>
      </c>
    </row>
    <row r="26" ht="15.15"/>
    <row r="27" ht="21.75" customHeight="1" spans="2:3">
      <c r="B27" s="136" t="s">
        <v>122</v>
      </c>
      <c r="C27" s="136"/>
    </row>
    <row r="28" ht="19.5" customHeight="1" spans="2:3">
      <c r="B28" s="137" t="s">
        <v>123</v>
      </c>
      <c r="C28" s="137"/>
    </row>
    <row r="29" ht="19.5" customHeight="1" spans="2:3">
      <c r="B29" s="138" t="s">
        <v>124</v>
      </c>
      <c r="C29" s="138"/>
    </row>
    <row r="30" ht="19.5" customHeight="1" spans="2:3">
      <c r="B30" s="137" t="s">
        <v>125</v>
      </c>
      <c r="C30" s="137"/>
    </row>
    <row r="31" ht="19.5" customHeight="1" spans="2:3">
      <c r="B31" s="138" t="s">
        <v>126</v>
      </c>
      <c r="C31" s="138"/>
    </row>
    <row r="32" ht="19.5" customHeight="1" spans="2:3">
      <c r="B32" s="137" t="s">
        <v>127</v>
      </c>
      <c r="C32" s="137"/>
    </row>
    <row r="33" ht="19.5" customHeight="1" spans="2:3">
      <c r="B33" s="138" t="s">
        <v>128</v>
      </c>
      <c r="C33" s="138"/>
    </row>
  </sheetData>
  <mergeCells count="11">
    <mergeCell ref="B2:C2"/>
    <mergeCell ref="B3:C3"/>
    <mergeCell ref="B5:C5"/>
    <mergeCell ref="B17:C17"/>
    <mergeCell ref="B27:C27"/>
    <mergeCell ref="B28:C28"/>
    <mergeCell ref="B29:C29"/>
    <mergeCell ref="B30:C30"/>
    <mergeCell ref="B31:C31"/>
    <mergeCell ref="B32:C32"/>
    <mergeCell ref="B33:C3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5088"/>
  </sheetPr>
  <dimension ref="B1:I29"/>
  <sheetViews>
    <sheetView showGridLines="0" topLeftCell="A15" workbookViewId="0">
      <selection activeCell="A1" sqref="A1"/>
    </sheetView>
  </sheetViews>
  <sheetFormatPr defaultColWidth="8.67592592592593" defaultRowHeight="14.4"/>
  <cols>
    <col min="1" max="1" width="3" customWidth="1"/>
    <col min="2" max="2" width="36" customWidth="1"/>
    <col min="3" max="7" width="16" customWidth="1"/>
    <col min="8" max="8" width="30" customWidth="1"/>
    <col min="9" max="9" width="17.8888888888889" customWidth="1"/>
  </cols>
  <sheetData>
    <row r="1" ht="15.15"/>
    <row r="2" ht="31.5" customHeight="1" spans="2:9">
      <c r="B2" s="1" t="s">
        <v>84</v>
      </c>
      <c r="C2" s="1"/>
      <c r="D2" s="1"/>
      <c r="E2" s="1"/>
      <c r="F2" s="1"/>
      <c r="G2" s="1"/>
      <c r="H2" s="1"/>
    </row>
    <row r="3" ht="24" customHeight="1" spans="2:9">
      <c r="B3" s="44" t="s">
        <v>129</v>
      </c>
      <c r="C3" s="44"/>
      <c r="D3" s="44"/>
      <c r="E3" s="44"/>
      <c r="F3" s="44"/>
      <c r="G3" s="44"/>
      <c r="H3" s="44"/>
    </row>
    <row r="4" ht="7.5" customHeight="1"/>
    <row r="5" ht="18" customHeight="1" spans="2:9">
      <c r="B5" s="99" t="s">
        <v>130</v>
      </c>
      <c r="C5" s="99"/>
      <c r="D5" s="99"/>
      <c r="E5" s="99"/>
      <c r="F5" s="99"/>
      <c r="G5" s="99"/>
      <c r="H5" s="99"/>
    </row>
    <row r="6" ht="7.5" customHeight="1"/>
    <row r="7" ht="21.75" customHeight="1" spans="2:9">
      <c r="B7" s="115" t="s">
        <v>131</v>
      </c>
      <c r="C7" s="115"/>
      <c r="D7" s="115"/>
      <c r="E7" s="115"/>
      <c r="F7" s="115"/>
      <c r="G7" s="115"/>
      <c r="H7" s="115"/>
    </row>
    <row r="8" ht="43.5" customHeight="1" spans="2:9">
      <c r="B8" s="47" t="s">
        <v>132</v>
      </c>
      <c r="C8" s="47" t="s">
        <v>133</v>
      </c>
      <c r="D8" s="47" t="s">
        <v>134</v>
      </c>
      <c r="E8" s="47" t="s">
        <v>135</v>
      </c>
      <c r="F8" s="47" t="s">
        <v>136</v>
      </c>
      <c r="G8" s="47" t="s">
        <v>137</v>
      </c>
      <c r="H8" s="47" t="s">
        <v>138</v>
      </c>
      <c r="I8" s="47" t="s">
        <v>139</v>
      </c>
    </row>
    <row r="9" ht="29" customHeight="1" spans="2:9">
      <c r="B9" s="33" t="s">
        <v>17</v>
      </c>
      <c r="C9" s="49">
        <v>20000</v>
      </c>
      <c r="D9" s="29">
        <f>C9*0.065</f>
        <v>1300</v>
      </c>
      <c r="E9" s="50">
        <f>C9-D9</f>
        <v>18700</v>
      </c>
      <c r="F9" s="49">
        <v>27500</v>
      </c>
      <c r="G9" s="29">
        <f>F9*0.065</f>
        <v>1787.5</v>
      </c>
      <c r="H9" s="50">
        <f>F9-G9</f>
        <v>25712.5</v>
      </c>
      <c r="I9" s="116" t="s">
        <v>140</v>
      </c>
    </row>
    <row r="10" ht="25" customHeight="1" spans="2:9">
      <c r="B10" s="36" t="s">
        <v>28</v>
      </c>
      <c r="C10" s="49">
        <v>20000</v>
      </c>
      <c r="D10" s="29">
        <f>C10*0.065</f>
        <v>1300</v>
      </c>
      <c r="E10" s="50">
        <f>C10-D10</f>
        <v>18700</v>
      </c>
      <c r="F10" s="49">
        <v>27500</v>
      </c>
      <c r="G10" s="29">
        <f>F10*0.065</f>
        <v>1787.5</v>
      </c>
      <c r="H10" s="50">
        <f>F10-G10</f>
        <v>25712.5</v>
      </c>
      <c r="I10" s="117" t="s">
        <v>141</v>
      </c>
    </row>
    <row r="11" ht="42" customHeight="1" spans="2:9">
      <c r="B11" s="33" t="s">
        <v>39</v>
      </c>
      <c r="C11" s="49">
        <v>80000</v>
      </c>
      <c r="D11" s="29">
        <f>C11*0.065</f>
        <v>5200</v>
      </c>
      <c r="E11" s="50">
        <f>C11-D11</f>
        <v>74800</v>
      </c>
      <c r="F11" s="49">
        <v>104000</v>
      </c>
      <c r="G11" s="29">
        <f>F11*0.065</f>
        <v>6760</v>
      </c>
      <c r="H11" s="50">
        <f>F11-G11</f>
        <v>97240</v>
      </c>
      <c r="I11" s="116" t="s">
        <v>142</v>
      </c>
    </row>
    <row r="12" ht="30" customHeight="1" spans="2:9">
      <c r="B12" s="36" t="s">
        <v>143</v>
      </c>
      <c r="C12" s="49">
        <v>40000</v>
      </c>
      <c r="D12" s="29">
        <f>C12*0.065</f>
        <v>2600</v>
      </c>
      <c r="E12" s="50">
        <f>C12-D12</f>
        <v>37400</v>
      </c>
      <c r="F12" s="49">
        <v>72000</v>
      </c>
      <c r="G12" s="29">
        <f>F12*0.065</f>
        <v>4680</v>
      </c>
      <c r="H12" s="50">
        <f>F12-G12</f>
        <v>67320</v>
      </c>
      <c r="I12" s="117" t="s">
        <v>144</v>
      </c>
    </row>
    <row r="13" ht="32" customHeight="1" spans="2:9">
      <c r="B13" s="33" t="s">
        <v>57</v>
      </c>
      <c r="C13" s="49">
        <v>10000</v>
      </c>
      <c r="D13" s="29">
        <f>C13*0.065</f>
        <v>650</v>
      </c>
      <c r="E13" s="50">
        <f>C13-D13</f>
        <v>9350</v>
      </c>
      <c r="F13" s="49">
        <v>15000</v>
      </c>
      <c r="G13" s="29">
        <f>F13*0.065</f>
        <v>975</v>
      </c>
      <c r="H13" s="50">
        <f>F13-G13</f>
        <v>14025</v>
      </c>
      <c r="I13" s="116" t="s">
        <v>145</v>
      </c>
    </row>
    <row r="15" ht="7.5" customHeight="1"/>
    <row r="16" ht="21.75" customHeight="1" spans="2:9">
      <c r="B16" s="118" t="s">
        <v>146</v>
      </c>
      <c r="C16" s="118"/>
      <c r="D16" s="118"/>
      <c r="E16" s="118"/>
      <c r="F16" s="118"/>
      <c r="G16" s="118"/>
      <c r="H16" s="118"/>
    </row>
    <row r="17" ht="36" customHeight="1" spans="2:8">
      <c r="B17" s="85" t="s">
        <v>147</v>
      </c>
      <c r="C17" s="85" t="s">
        <v>148</v>
      </c>
      <c r="D17" s="85" t="s">
        <v>149</v>
      </c>
      <c r="E17" s="85" t="s">
        <v>150</v>
      </c>
      <c r="F17" s="85" t="s">
        <v>151</v>
      </c>
      <c r="G17" s="85" t="s">
        <v>152</v>
      </c>
      <c r="H17" s="85" t="s">
        <v>153</v>
      </c>
    </row>
    <row r="18" ht="19.5" customHeight="1" spans="2:8">
      <c r="B18" s="119" t="s">
        <v>25</v>
      </c>
      <c r="C18" s="120" t="s">
        <v>17</v>
      </c>
      <c r="D18" s="121" t="s">
        <v>18</v>
      </c>
      <c r="E18" s="122">
        <v>20000</v>
      </c>
      <c r="F18" s="123">
        <f t="shared" ref="F18:F27" si="0">E18*0.065</f>
        <v>1300</v>
      </c>
      <c r="G18" s="124">
        <f t="shared" ref="G18:G27" si="1">E18-F18</f>
        <v>18700</v>
      </c>
      <c r="H18" s="120"/>
    </row>
    <row r="19" ht="19.5" customHeight="1" spans="2:8">
      <c r="B19" s="125" t="s">
        <v>36</v>
      </c>
      <c r="C19" s="126" t="s">
        <v>17</v>
      </c>
      <c r="D19" s="127" t="s">
        <v>29</v>
      </c>
      <c r="E19" s="122">
        <v>27500</v>
      </c>
      <c r="F19" s="123">
        <f t="shared" si="0"/>
        <v>1787.5</v>
      </c>
      <c r="G19" s="124">
        <f t="shared" si="1"/>
        <v>25712.5</v>
      </c>
      <c r="H19" s="126"/>
    </row>
    <row r="20" ht="19.5" customHeight="1" spans="2:8">
      <c r="B20" s="119" t="s">
        <v>45</v>
      </c>
      <c r="C20" s="120" t="s">
        <v>28</v>
      </c>
      <c r="D20" s="121" t="s">
        <v>18</v>
      </c>
      <c r="E20" s="122">
        <v>20000</v>
      </c>
      <c r="F20" s="123">
        <f t="shared" si="0"/>
        <v>1300</v>
      </c>
      <c r="G20" s="124">
        <f t="shared" si="1"/>
        <v>18700</v>
      </c>
      <c r="H20" s="120"/>
    </row>
    <row r="21" ht="19.5" customHeight="1" spans="2:8">
      <c r="B21" s="125" t="s">
        <v>54</v>
      </c>
      <c r="C21" s="126" t="s">
        <v>28</v>
      </c>
      <c r="D21" s="127" t="s">
        <v>29</v>
      </c>
      <c r="E21" s="122">
        <v>27500</v>
      </c>
      <c r="F21" s="123">
        <f t="shared" si="0"/>
        <v>1787.5</v>
      </c>
      <c r="G21" s="124">
        <f t="shared" si="1"/>
        <v>25712.5</v>
      </c>
      <c r="H21" s="126"/>
    </row>
    <row r="22" ht="19.5" customHeight="1" spans="2:8">
      <c r="B22" s="119" t="s">
        <v>60</v>
      </c>
      <c r="C22" s="120" t="s">
        <v>39</v>
      </c>
      <c r="D22" s="121" t="s">
        <v>18</v>
      </c>
      <c r="E22" s="122">
        <v>80000</v>
      </c>
      <c r="F22" s="123">
        <f t="shared" si="0"/>
        <v>5200</v>
      </c>
      <c r="G22" s="124">
        <f t="shared" si="1"/>
        <v>74800</v>
      </c>
      <c r="H22" s="120"/>
    </row>
    <row r="23" ht="19.5" customHeight="1" spans="2:8">
      <c r="B23" s="125" t="s">
        <v>64</v>
      </c>
      <c r="C23" s="126" t="s">
        <v>39</v>
      </c>
      <c r="D23" s="127" t="s">
        <v>29</v>
      </c>
      <c r="E23" s="122">
        <v>104000</v>
      </c>
      <c r="F23" s="123">
        <f t="shared" si="0"/>
        <v>6760</v>
      </c>
      <c r="G23" s="124">
        <f t="shared" si="1"/>
        <v>97240</v>
      </c>
      <c r="H23" s="126"/>
    </row>
    <row r="24" ht="19.5" customHeight="1" spans="2:8">
      <c r="B24" s="119" t="s">
        <v>68</v>
      </c>
      <c r="C24" s="120" t="s">
        <v>48</v>
      </c>
      <c r="D24" s="121" t="s">
        <v>18</v>
      </c>
      <c r="E24" s="122">
        <v>40000</v>
      </c>
      <c r="F24" s="123">
        <f t="shared" si="0"/>
        <v>2600</v>
      </c>
      <c r="G24" s="124">
        <f t="shared" si="1"/>
        <v>37400</v>
      </c>
      <c r="H24" s="120"/>
    </row>
    <row r="25" ht="19.5" customHeight="1" spans="2:8">
      <c r="B25" s="125" t="s">
        <v>72</v>
      </c>
      <c r="C25" s="126" t="s">
        <v>48</v>
      </c>
      <c r="D25" s="127" t="s">
        <v>29</v>
      </c>
      <c r="E25" s="122">
        <v>72000</v>
      </c>
      <c r="F25" s="123">
        <f t="shared" si="0"/>
        <v>4680</v>
      </c>
      <c r="G25" s="124">
        <f t="shared" si="1"/>
        <v>67320</v>
      </c>
      <c r="H25" s="126"/>
    </row>
    <row r="26" ht="19.5" customHeight="1" spans="2:8">
      <c r="B26" s="119" t="s">
        <v>76</v>
      </c>
      <c r="C26" s="120" t="s">
        <v>57</v>
      </c>
      <c r="D26" s="121" t="s">
        <v>18</v>
      </c>
      <c r="E26" s="122">
        <v>10000</v>
      </c>
      <c r="F26" s="123">
        <f t="shared" si="0"/>
        <v>650</v>
      </c>
      <c r="G26" s="124">
        <f t="shared" si="1"/>
        <v>9350</v>
      </c>
      <c r="H26" s="120"/>
    </row>
    <row r="27" ht="19.5" customHeight="1" spans="2:8">
      <c r="B27" s="125" t="s">
        <v>80</v>
      </c>
      <c r="C27" s="126" t="s">
        <v>57</v>
      </c>
      <c r="D27" s="127" t="s">
        <v>29</v>
      </c>
      <c r="E27" s="122">
        <v>15000</v>
      </c>
      <c r="F27" s="123">
        <f t="shared" si="0"/>
        <v>975</v>
      </c>
      <c r="G27" s="124">
        <f t="shared" si="1"/>
        <v>14025</v>
      </c>
      <c r="H27" s="126"/>
    </row>
    <row r="28" ht="15.15"/>
    <row r="29" ht="15.75" customHeight="1" spans="2:8">
      <c r="B29" s="45" t="s">
        <v>154</v>
      </c>
      <c r="C29" s="45"/>
      <c r="D29" s="45"/>
      <c r="E29" s="45"/>
      <c r="F29" s="45"/>
      <c r="G29" s="45"/>
      <c r="H29" s="45"/>
    </row>
  </sheetData>
  <mergeCells count="6">
    <mergeCell ref="B2:H2"/>
    <mergeCell ref="B3:H3"/>
    <mergeCell ref="B5:H5"/>
    <mergeCell ref="B7:H7"/>
    <mergeCell ref="B16:H16"/>
    <mergeCell ref="B29:H2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5A9E"/>
  </sheetPr>
  <dimension ref="B1:J22"/>
  <sheetViews>
    <sheetView showGridLines="0" topLeftCell="A7" workbookViewId="0">
      <selection activeCell="E12" sqref="E12"/>
    </sheetView>
  </sheetViews>
  <sheetFormatPr defaultColWidth="8.67592592592593" defaultRowHeight="14.4"/>
  <cols>
    <col min="1" max="1" width="3" customWidth="1"/>
    <col min="2" max="2" width="6" customWidth="1"/>
    <col min="3" max="3" width="30" customWidth="1"/>
    <col min="4" max="4" width="16" customWidth="1"/>
    <col min="5" max="5" width="26" customWidth="1"/>
    <col min="6" max="6" width="30" customWidth="1"/>
    <col min="7" max="7" width="28" customWidth="1"/>
    <col min="8" max="8" width="20" customWidth="1"/>
    <col min="9" max="10" width="24" customWidth="1"/>
    <col min="11" max="11" width="3" customWidth="1"/>
  </cols>
  <sheetData>
    <row r="1" ht="15.15"/>
    <row r="2" ht="31.5" customHeight="1" spans="2:10">
      <c r="B2" s="1" t="s">
        <v>84</v>
      </c>
      <c r="C2" s="1"/>
      <c r="D2" s="1"/>
      <c r="E2" s="1"/>
      <c r="F2" s="1"/>
      <c r="G2" s="1"/>
      <c r="H2" s="1"/>
      <c r="I2" s="1"/>
      <c r="J2" s="1"/>
    </row>
    <row r="3" ht="24" customHeight="1" spans="2:10">
      <c r="B3" s="44" t="s">
        <v>155</v>
      </c>
      <c r="C3" s="44"/>
      <c r="D3" s="44"/>
      <c r="E3" s="44"/>
      <c r="F3" s="44"/>
      <c r="G3" s="44"/>
      <c r="H3" s="44"/>
      <c r="I3" s="44"/>
      <c r="J3" s="44"/>
    </row>
    <row r="4" ht="7.5" customHeight="1" spans="2:10">
      <c r="B4" s="99" t="s">
        <v>156</v>
      </c>
      <c r="C4" s="99"/>
      <c r="D4" s="99"/>
      <c r="E4" s="99"/>
      <c r="F4" s="99"/>
      <c r="G4" s="99"/>
      <c r="H4" s="99"/>
      <c r="I4" s="99"/>
      <c r="J4" s="99"/>
    </row>
    <row r="5" ht="43.5" customHeight="1"/>
    <row r="6" ht="43.5" customHeight="1" spans="2:10">
      <c r="B6" s="47" t="s">
        <v>157</v>
      </c>
      <c r="C6" s="47" t="s">
        <v>158</v>
      </c>
      <c r="D6" s="47" t="s">
        <v>159</v>
      </c>
      <c r="E6" s="47" t="s">
        <v>160</v>
      </c>
      <c r="F6" s="47" t="s">
        <v>161</v>
      </c>
      <c r="G6" s="47" t="s">
        <v>162</v>
      </c>
      <c r="H6" s="47" t="s">
        <v>163</v>
      </c>
      <c r="I6" s="47" t="s">
        <v>164</v>
      </c>
      <c r="J6" s="47" t="s">
        <v>165</v>
      </c>
    </row>
    <row r="7" ht="30" customHeight="1" spans="2:10">
      <c r="B7" s="61">
        <v>1</v>
      </c>
      <c r="C7" s="91" t="s">
        <v>15</v>
      </c>
      <c r="D7" s="100" t="s">
        <v>166</v>
      </c>
      <c r="E7" s="101" t="s">
        <v>167</v>
      </c>
      <c r="F7" s="52" t="s">
        <v>168</v>
      </c>
      <c r="G7" s="102" t="s">
        <v>169</v>
      </c>
      <c r="H7" s="55"/>
      <c r="I7" s="52"/>
      <c r="J7" s="52"/>
    </row>
    <row r="8" ht="41" customHeight="1" spans="2:10">
      <c r="B8" s="61">
        <v>2</v>
      </c>
      <c r="C8" s="91" t="s">
        <v>26</v>
      </c>
      <c r="D8" s="100" t="s">
        <v>166</v>
      </c>
      <c r="E8" s="101" t="s">
        <v>170</v>
      </c>
      <c r="F8" s="52" t="s">
        <v>168</v>
      </c>
      <c r="G8" s="102" t="s">
        <v>171</v>
      </c>
      <c r="H8" s="55"/>
      <c r="I8" s="52"/>
      <c r="J8" s="52"/>
    </row>
    <row r="9" ht="30" customHeight="1" spans="2:10">
      <c r="B9" s="103">
        <v>3</v>
      </c>
      <c r="C9" s="104" t="s">
        <v>37</v>
      </c>
      <c r="D9" s="105" t="s">
        <v>172</v>
      </c>
      <c r="E9" s="106" t="s">
        <v>173</v>
      </c>
      <c r="F9" s="52" t="s">
        <v>174</v>
      </c>
      <c r="G9" s="107" t="s">
        <v>175</v>
      </c>
      <c r="H9" s="55"/>
      <c r="I9" s="52"/>
      <c r="J9" s="52"/>
    </row>
    <row r="10" ht="32" customHeight="1" spans="2:10">
      <c r="B10" s="103">
        <v>4</v>
      </c>
      <c r="C10" s="104" t="s">
        <v>46</v>
      </c>
      <c r="D10" s="105" t="s">
        <v>176</v>
      </c>
      <c r="E10" s="106" t="s">
        <v>177</v>
      </c>
      <c r="F10" s="52" t="s">
        <v>174</v>
      </c>
      <c r="G10" s="107" t="s">
        <v>178</v>
      </c>
      <c r="H10" s="55"/>
      <c r="I10" s="52"/>
      <c r="J10" s="52"/>
    </row>
    <row r="11" ht="35" customHeight="1" spans="2:10">
      <c r="B11" s="103">
        <v>5</v>
      </c>
      <c r="C11" s="104" t="s">
        <v>55</v>
      </c>
      <c r="D11" s="105" t="s">
        <v>176</v>
      </c>
      <c r="E11" s="106" t="s">
        <v>179</v>
      </c>
      <c r="F11" s="52" t="s">
        <v>174</v>
      </c>
      <c r="G11" s="107" t="s">
        <v>178</v>
      </c>
      <c r="H11" s="55"/>
      <c r="I11" s="52"/>
      <c r="J11" s="52"/>
    </row>
    <row r="12" ht="33" customHeight="1" spans="2:10">
      <c r="B12" s="103">
        <v>6</v>
      </c>
      <c r="C12" s="104" t="s">
        <v>61</v>
      </c>
      <c r="D12" s="105" t="s">
        <v>176</v>
      </c>
      <c r="E12" s="106" t="s">
        <v>179</v>
      </c>
      <c r="F12" s="52" t="s">
        <v>174</v>
      </c>
      <c r="G12" s="107" t="s">
        <v>180</v>
      </c>
      <c r="H12" s="55"/>
      <c r="I12" s="52"/>
      <c r="J12" s="52"/>
    </row>
    <row r="13" ht="32" customHeight="1" spans="2:10">
      <c r="B13" s="103">
        <v>7</v>
      </c>
      <c r="C13" s="104" t="s">
        <v>65</v>
      </c>
      <c r="D13" s="105" t="s">
        <v>176</v>
      </c>
      <c r="E13" s="106" t="s">
        <v>179</v>
      </c>
      <c r="F13" s="52" t="s">
        <v>174</v>
      </c>
      <c r="G13" s="107" t="s">
        <v>178</v>
      </c>
      <c r="H13" s="55"/>
      <c r="I13" s="52"/>
      <c r="J13" s="52"/>
    </row>
    <row r="14" ht="30" customHeight="1" spans="2:10">
      <c r="B14" s="48">
        <v>8</v>
      </c>
      <c r="C14" s="108" t="s">
        <v>69</v>
      </c>
      <c r="D14" s="109" t="s">
        <v>181</v>
      </c>
      <c r="E14" s="57" t="s">
        <v>182</v>
      </c>
      <c r="F14" s="52" t="s">
        <v>174</v>
      </c>
      <c r="G14" s="110" t="s">
        <v>183</v>
      </c>
      <c r="H14" s="55"/>
      <c r="I14" s="52"/>
      <c r="J14" s="52"/>
    </row>
    <row r="15" ht="33" customHeight="1" spans="2:10">
      <c r="B15" s="48">
        <v>9</v>
      </c>
      <c r="C15" s="108" t="s">
        <v>73</v>
      </c>
      <c r="D15" s="109" t="s">
        <v>184</v>
      </c>
      <c r="E15" s="57" t="s">
        <v>179</v>
      </c>
      <c r="F15" s="52" t="s">
        <v>174</v>
      </c>
      <c r="G15" s="110" t="s">
        <v>185</v>
      </c>
      <c r="H15" s="55"/>
      <c r="I15" s="52"/>
      <c r="J15" s="52"/>
    </row>
    <row r="16" ht="30" customHeight="1" spans="2:10">
      <c r="B16" s="48">
        <v>10</v>
      </c>
      <c r="C16" s="108" t="s">
        <v>77</v>
      </c>
      <c r="D16" s="109" t="s">
        <v>184</v>
      </c>
      <c r="E16" s="57" t="s">
        <v>179</v>
      </c>
      <c r="F16" s="52" t="s">
        <v>174</v>
      </c>
      <c r="G16" s="110" t="s">
        <v>185</v>
      </c>
      <c r="H16" s="55"/>
      <c r="I16" s="52"/>
      <c r="J16" s="52"/>
    </row>
    <row r="18" ht="7.5" customHeight="1"/>
    <row r="19" ht="21.75" customHeight="1" spans="2:10">
      <c r="B19" s="111" t="s">
        <v>186</v>
      </c>
      <c r="C19" s="111"/>
      <c r="D19" s="111"/>
      <c r="E19" s="111"/>
      <c r="F19" s="111"/>
      <c r="G19" s="111"/>
      <c r="H19" s="111"/>
      <c r="I19" s="111"/>
      <c r="J19" s="111"/>
    </row>
    <row r="20" ht="21.75" customHeight="1" spans="2:10">
      <c r="B20" s="112" t="s">
        <v>187</v>
      </c>
      <c r="C20" s="112"/>
      <c r="D20" s="112"/>
      <c r="E20" s="112"/>
      <c r="F20" s="112"/>
      <c r="G20" s="112"/>
      <c r="H20" s="112"/>
      <c r="I20" s="112"/>
      <c r="J20" s="112"/>
    </row>
    <row r="21" ht="21.75" customHeight="1" spans="2:10">
      <c r="B21" s="113" t="s">
        <v>188</v>
      </c>
      <c r="C21" s="113"/>
      <c r="D21" s="113"/>
      <c r="E21" s="113"/>
      <c r="F21" s="113"/>
      <c r="G21" s="113"/>
      <c r="H21" s="113"/>
      <c r="I21" s="113"/>
      <c r="J21" s="113"/>
    </row>
    <row r="22" spans="2:10">
      <c r="B22" s="114" t="s">
        <v>189</v>
      </c>
      <c r="C22" s="114"/>
      <c r="D22" s="114"/>
      <c r="E22" s="114"/>
      <c r="F22" s="114"/>
      <c r="G22" s="114"/>
      <c r="H22" s="114"/>
      <c r="I22" s="114"/>
      <c r="J22" s="114"/>
    </row>
  </sheetData>
  <mergeCells count="7">
    <mergeCell ref="B2:J2"/>
    <mergeCell ref="B3:J3"/>
    <mergeCell ref="B4:J4"/>
    <mergeCell ref="B19:J19"/>
    <mergeCell ref="B20:J20"/>
    <mergeCell ref="B21:J21"/>
    <mergeCell ref="B22:J2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A5276"/>
  </sheetPr>
  <dimension ref="B1:S50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Q10" sqref="Q10"/>
    </sheetView>
  </sheetViews>
  <sheetFormatPr defaultColWidth="8.67592592592593" defaultRowHeight="14.4"/>
  <cols>
    <col min="1" max="1" width="3" customWidth="1"/>
    <col min="2" max="2" width="7" customWidth="1"/>
    <col min="3" max="3" width="20" customWidth="1"/>
    <col min="4" max="4" width="15" customWidth="1"/>
    <col min="5" max="5" width="12" customWidth="1"/>
    <col min="6" max="6" width="28" customWidth="1"/>
    <col min="7" max="7" width="34" customWidth="1"/>
    <col min="8" max="8" width="28.2222222222222" customWidth="1"/>
    <col min="9" max="9" width="10" customWidth="1"/>
    <col min="10" max="11" width="14" customWidth="1"/>
    <col min="12" max="12" width="12" customWidth="1"/>
    <col min="13" max="17" width="22" customWidth="1"/>
    <col min="18" max="18" width="16" customWidth="1"/>
    <col min="19" max="19" width="12.5555555555556" customWidth="1"/>
  </cols>
  <sheetData>
    <row r="1" ht="15.15"/>
    <row r="2" ht="31.5" customHeight="1" spans="2:19">
      <c r="B2" s="1" t="s">
        <v>84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24" customHeight="1" spans="2:19">
      <c r="B3" s="44" t="s">
        <v>190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</row>
    <row r="4" ht="15" customHeight="1" spans="2:19">
      <c r="B4" s="82" t="s">
        <v>191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</row>
    <row r="5" ht="51.75" customHeight="1" spans="2:19">
      <c r="B5" s="47" t="s">
        <v>192</v>
      </c>
      <c r="C5" s="47" t="s">
        <v>193</v>
      </c>
      <c r="D5" s="47" t="s">
        <v>194</v>
      </c>
      <c r="E5" s="83" t="s">
        <v>195</v>
      </c>
      <c r="F5" s="47" t="s">
        <v>196</v>
      </c>
      <c r="G5" s="47" t="s">
        <v>197</v>
      </c>
      <c r="H5" s="47" t="s">
        <v>198</v>
      </c>
      <c r="I5" s="47" t="s">
        <v>199</v>
      </c>
      <c r="J5" s="47" t="s">
        <v>200</v>
      </c>
      <c r="K5" s="47" t="s">
        <v>201</v>
      </c>
      <c r="L5" s="84" t="s">
        <v>202</v>
      </c>
      <c r="M5" s="47" t="s">
        <v>203</v>
      </c>
      <c r="N5" s="85" t="s">
        <v>204</v>
      </c>
      <c r="O5" s="86" t="s">
        <v>205</v>
      </c>
      <c r="P5" s="87" t="s">
        <v>206</v>
      </c>
      <c r="Q5" s="88" t="s">
        <v>207</v>
      </c>
      <c r="R5" s="84" t="s">
        <v>208</v>
      </c>
      <c r="S5" s="47" t="s">
        <v>209</v>
      </c>
    </row>
    <row r="6" ht="33" customHeight="1" spans="2:19">
      <c r="B6" s="48">
        <v>1</v>
      </c>
      <c r="C6" s="52" t="s">
        <v>210</v>
      </c>
      <c r="D6" s="55" t="s">
        <v>211</v>
      </c>
      <c r="E6" s="89" t="s">
        <v>19</v>
      </c>
      <c r="F6" s="90" t="s">
        <v>212</v>
      </c>
      <c r="G6" s="90" t="s">
        <v>213</v>
      </c>
      <c r="H6" s="52" t="s">
        <v>16</v>
      </c>
      <c r="I6" s="55" t="s">
        <v>18</v>
      </c>
      <c r="J6" s="55" t="s">
        <v>214</v>
      </c>
      <c r="K6" s="55" t="s">
        <v>215</v>
      </c>
      <c r="L6" s="64" t="str">
        <f t="shared" ref="L6:L50" si="0">IF(K6="","",MID("JanFevMarAbrMaiJunJulAgoSetOutNovDez",VALUE(MID(K6,4,2))*3-2,3)&amp;"/"&amp;RIGHT(K6,4))</f>
        <v>Fev/2026</v>
      </c>
      <c r="M6" s="91" t="s">
        <v>26</v>
      </c>
      <c r="N6" s="92" t="s">
        <v>61</v>
      </c>
      <c r="O6" s="93" t="s">
        <v>55</v>
      </c>
      <c r="P6" s="94" t="s">
        <v>216</v>
      </c>
      <c r="Q6" s="95" t="s">
        <v>77</v>
      </c>
      <c r="R6" s="55" t="s">
        <v>62</v>
      </c>
      <c r="S6" s="96"/>
    </row>
    <row r="7" ht="30" customHeight="1" spans="2:19">
      <c r="B7" s="53">
        <v>2</v>
      </c>
      <c r="C7" s="52" t="s">
        <v>217</v>
      </c>
      <c r="D7" s="55" t="s">
        <v>218</v>
      </c>
      <c r="E7" s="97" t="s">
        <v>19</v>
      </c>
      <c r="F7" s="90" t="s">
        <v>219</v>
      </c>
      <c r="G7" s="90" t="s">
        <v>220</v>
      </c>
      <c r="H7" s="52" t="s">
        <v>16</v>
      </c>
      <c r="I7" s="55" t="s">
        <v>29</v>
      </c>
      <c r="J7" s="55" t="s">
        <v>221</v>
      </c>
      <c r="K7" s="55" t="s">
        <v>222</v>
      </c>
      <c r="L7" s="64" t="str">
        <f t="shared" si="0"/>
        <v>Fev/2026</v>
      </c>
      <c r="M7" s="91" t="s">
        <v>26</v>
      </c>
      <c r="N7" s="92" t="s">
        <v>46</v>
      </c>
      <c r="O7" s="93" t="s">
        <v>65</v>
      </c>
      <c r="P7" s="94" t="s">
        <v>223</v>
      </c>
      <c r="Q7" s="95" t="s">
        <v>73</v>
      </c>
      <c r="R7" s="55" t="s">
        <v>58</v>
      </c>
      <c r="S7" s="98"/>
    </row>
    <row r="8" ht="31" customHeight="1" spans="2:19">
      <c r="B8" s="48">
        <v>3</v>
      </c>
      <c r="C8" s="52" t="s">
        <v>224</v>
      </c>
      <c r="D8" s="55" t="s">
        <v>225</v>
      </c>
      <c r="E8" s="89" t="s">
        <v>19</v>
      </c>
      <c r="F8" s="90" t="s">
        <v>226</v>
      </c>
      <c r="G8" s="90" t="s">
        <v>227</v>
      </c>
      <c r="H8" s="52" t="s">
        <v>27</v>
      </c>
      <c r="I8" s="55" t="s">
        <v>18</v>
      </c>
      <c r="J8" s="55" t="s">
        <v>228</v>
      </c>
      <c r="K8" s="55" t="s">
        <v>229</v>
      </c>
      <c r="L8" s="64" t="str">
        <f t="shared" si="0"/>
        <v>Mar/2026</v>
      </c>
      <c r="M8" s="91" t="s">
        <v>15</v>
      </c>
      <c r="N8" s="92" t="s">
        <v>37</v>
      </c>
      <c r="O8" s="93" t="s">
        <v>61</v>
      </c>
      <c r="P8" s="94" t="s">
        <v>216</v>
      </c>
      <c r="Q8" s="95" t="s">
        <v>69</v>
      </c>
      <c r="R8" s="55" t="s">
        <v>66</v>
      </c>
      <c r="S8" s="96"/>
    </row>
    <row r="9" ht="19.5" customHeight="1" spans="2:19">
      <c r="B9" s="54"/>
      <c r="C9" s="52"/>
      <c r="D9" s="52"/>
      <c r="E9" s="52"/>
      <c r="F9" s="52"/>
      <c r="G9" s="52"/>
      <c r="H9" s="52"/>
      <c r="I9" s="52"/>
      <c r="J9" s="52"/>
      <c r="K9" s="52"/>
      <c r="L9" s="64" t="str">
        <f t="shared" si="0"/>
        <v/>
      </c>
      <c r="M9" s="52"/>
      <c r="N9" s="52"/>
      <c r="O9" s="52"/>
      <c r="P9" s="52"/>
      <c r="Q9" s="52"/>
      <c r="R9" s="55"/>
      <c r="S9" s="54"/>
    </row>
    <row r="10" ht="19.5" customHeight="1" spans="2:19">
      <c r="B10" s="57"/>
      <c r="C10" s="52"/>
      <c r="D10" s="52"/>
      <c r="E10" s="52"/>
      <c r="F10" s="52"/>
      <c r="G10" s="52"/>
      <c r="H10" s="52"/>
      <c r="I10" s="52"/>
      <c r="J10" s="52"/>
      <c r="K10" s="52"/>
      <c r="L10" s="64" t="str">
        <f t="shared" si="0"/>
        <v/>
      </c>
      <c r="M10" s="52"/>
      <c r="N10" s="52"/>
      <c r="O10" s="52"/>
      <c r="P10" s="52"/>
      <c r="Q10" s="52"/>
      <c r="R10" s="55"/>
      <c r="S10" s="57"/>
    </row>
    <row r="11" ht="19.5" customHeight="1" spans="2:19">
      <c r="B11" s="54"/>
      <c r="C11" s="52"/>
      <c r="D11" s="52"/>
      <c r="E11" s="52"/>
      <c r="F11" s="52"/>
      <c r="G11" s="52"/>
      <c r="H11" s="52"/>
      <c r="I11" s="52"/>
      <c r="J11" s="52"/>
      <c r="K11" s="52"/>
      <c r="L11" s="64" t="str">
        <f t="shared" si="0"/>
        <v/>
      </c>
      <c r="M11" s="52"/>
      <c r="N11" s="52"/>
      <c r="O11" s="52"/>
      <c r="P11" s="52"/>
      <c r="Q11" s="52"/>
      <c r="R11" s="55"/>
      <c r="S11" s="54"/>
    </row>
    <row r="12" ht="19.5" customHeight="1" spans="2:19">
      <c r="B12" s="57"/>
      <c r="C12" s="52"/>
      <c r="D12" s="52"/>
      <c r="E12" s="52"/>
      <c r="F12" s="52"/>
      <c r="G12" s="52"/>
      <c r="H12" s="52"/>
      <c r="I12" s="52"/>
      <c r="J12" s="52"/>
      <c r="K12" s="52"/>
      <c r="L12" s="64" t="str">
        <f t="shared" si="0"/>
        <v/>
      </c>
      <c r="M12" s="52"/>
      <c r="N12" s="52"/>
      <c r="O12" s="52"/>
      <c r="P12" s="52"/>
      <c r="Q12" s="52"/>
      <c r="R12" s="55"/>
      <c r="S12" s="57"/>
    </row>
    <row r="13" ht="19.5" customHeight="1" spans="2:19">
      <c r="B13" s="54"/>
      <c r="C13" s="52"/>
      <c r="D13" s="52"/>
      <c r="E13" s="52"/>
      <c r="F13" s="52"/>
      <c r="G13" s="52"/>
      <c r="H13" s="52"/>
      <c r="I13" s="52"/>
      <c r="J13" s="52"/>
      <c r="K13" s="52"/>
      <c r="L13" s="64" t="str">
        <f t="shared" si="0"/>
        <v/>
      </c>
      <c r="M13" s="52"/>
      <c r="N13" s="52"/>
      <c r="O13" s="52"/>
      <c r="P13" s="52"/>
      <c r="Q13" s="52"/>
      <c r="R13" s="55"/>
      <c r="S13" s="54"/>
    </row>
    <row r="14" ht="19.5" customHeight="1" spans="2:19">
      <c r="B14" s="57"/>
      <c r="C14" s="52"/>
      <c r="D14" s="52"/>
      <c r="E14" s="52"/>
      <c r="F14" s="52"/>
      <c r="G14" s="52"/>
      <c r="H14" s="52"/>
      <c r="I14" s="52"/>
      <c r="J14" s="52"/>
      <c r="K14" s="52"/>
      <c r="L14" s="64" t="str">
        <f t="shared" si="0"/>
        <v/>
      </c>
      <c r="M14" s="52"/>
      <c r="N14" s="52"/>
      <c r="O14" s="52"/>
      <c r="P14" s="52"/>
      <c r="Q14" s="52"/>
      <c r="R14" s="55"/>
      <c r="S14" s="57"/>
    </row>
    <row r="15" ht="19.5" customHeight="1" spans="2:19">
      <c r="B15" s="54"/>
      <c r="C15" s="52"/>
      <c r="D15" s="52"/>
      <c r="E15" s="52"/>
      <c r="F15" s="52"/>
      <c r="G15" s="52"/>
      <c r="H15" s="52"/>
      <c r="I15" s="52"/>
      <c r="J15" s="52"/>
      <c r="K15" s="52"/>
      <c r="L15" s="64" t="str">
        <f t="shared" si="0"/>
        <v/>
      </c>
      <c r="M15" s="52"/>
      <c r="N15" s="52"/>
      <c r="O15" s="52"/>
      <c r="P15" s="52"/>
      <c r="Q15" s="52"/>
      <c r="R15" s="55"/>
      <c r="S15" s="54"/>
    </row>
    <row r="16" ht="19.5" customHeight="1" spans="2:19">
      <c r="B16" s="57"/>
      <c r="C16" s="52"/>
      <c r="D16" s="52"/>
      <c r="E16" s="52"/>
      <c r="F16" s="52"/>
      <c r="G16" s="52"/>
      <c r="H16" s="52"/>
      <c r="I16" s="52"/>
      <c r="J16" s="52"/>
      <c r="K16" s="52"/>
      <c r="L16" s="64" t="str">
        <f t="shared" si="0"/>
        <v/>
      </c>
      <c r="M16" s="52"/>
      <c r="N16" s="52"/>
      <c r="O16" s="52"/>
      <c r="P16" s="52"/>
      <c r="Q16" s="52"/>
      <c r="R16" s="55"/>
      <c r="S16" s="57"/>
    </row>
    <row r="17" ht="19.5" customHeight="1" spans="2:19">
      <c r="B17" s="54"/>
      <c r="C17" s="52"/>
      <c r="D17" s="52"/>
      <c r="E17" s="52"/>
      <c r="F17" s="52"/>
      <c r="G17" s="52"/>
      <c r="H17" s="52"/>
      <c r="I17" s="52"/>
      <c r="J17" s="52"/>
      <c r="K17" s="52"/>
      <c r="L17" s="64" t="str">
        <f t="shared" si="0"/>
        <v/>
      </c>
      <c r="M17" s="52"/>
      <c r="N17" s="52"/>
      <c r="O17" s="52"/>
      <c r="P17" s="52"/>
      <c r="Q17" s="52"/>
      <c r="R17" s="55"/>
      <c r="S17" s="54"/>
    </row>
    <row r="18" ht="19.5" customHeight="1" spans="2:19">
      <c r="B18" s="57"/>
      <c r="C18" s="52"/>
      <c r="D18" s="52"/>
      <c r="E18" s="52"/>
      <c r="F18" s="52"/>
      <c r="G18" s="52"/>
      <c r="H18" s="52"/>
      <c r="I18" s="52"/>
      <c r="J18" s="52"/>
      <c r="K18" s="52"/>
      <c r="L18" s="64" t="str">
        <f t="shared" si="0"/>
        <v/>
      </c>
      <c r="M18" s="52"/>
      <c r="N18" s="52"/>
      <c r="O18" s="52"/>
      <c r="P18" s="52"/>
      <c r="Q18" s="52"/>
      <c r="R18" s="55"/>
      <c r="S18" s="57"/>
    </row>
    <row r="19" ht="19.5" customHeight="1" spans="2:19">
      <c r="B19" s="54"/>
      <c r="C19" s="52"/>
      <c r="D19" s="52"/>
      <c r="E19" s="52"/>
      <c r="F19" s="52"/>
      <c r="G19" s="52"/>
      <c r="H19" s="52"/>
      <c r="I19" s="52"/>
      <c r="J19" s="52"/>
      <c r="K19" s="52"/>
      <c r="L19" s="64" t="str">
        <f t="shared" si="0"/>
        <v/>
      </c>
      <c r="M19" s="52"/>
      <c r="N19" s="52"/>
      <c r="O19" s="52"/>
      <c r="P19" s="52"/>
      <c r="Q19" s="52"/>
      <c r="R19" s="55"/>
      <c r="S19" s="54"/>
    </row>
    <row r="20" ht="19.5" customHeight="1" spans="2:19">
      <c r="B20" s="57"/>
      <c r="C20" s="52"/>
      <c r="D20" s="52"/>
      <c r="E20" s="52"/>
      <c r="F20" s="52"/>
      <c r="G20" s="52"/>
      <c r="H20" s="52"/>
      <c r="I20" s="52"/>
      <c r="J20" s="52"/>
      <c r="K20" s="52"/>
      <c r="L20" s="64" t="str">
        <f t="shared" si="0"/>
        <v/>
      </c>
      <c r="M20" s="52"/>
      <c r="N20" s="52"/>
      <c r="O20" s="52"/>
      <c r="P20" s="52"/>
      <c r="Q20" s="52"/>
      <c r="R20" s="55"/>
      <c r="S20" s="57"/>
    </row>
    <row r="21" ht="19.5" customHeight="1" spans="2:19">
      <c r="B21" s="54"/>
      <c r="C21" s="52"/>
      <c r="D21" s="52"/>
      <c r="E21" s="52"/>
      <c r="F21" s="52"/>
      <c r="G21" s="52"/>
      <c r="H21" s="52"/>
      <c r="I21" s="52"/>
      <c r="J21" s="52"/>
      <c r="K21" s="52"/>
      <c r="L21" s="64" t="str">
        <f t="shared" si="0"/>
        <v/>
      </c>
      <c r="M21" s="52"/>
      <c r="N21" s="52"/>
      <c r="O21" s="52"/>
      <c r="P21" s="52"/>
      <c r="Q21" s="52"/>
      <c r="R21" s="55"/>
      <c r="S21" s="54"/>
    </row>
    <row r="22" ht="19.5" customHeight="1" spans="2:19">
      <c r="B22" s="57"/>
      <c r="C22" s="52"/>
      <c r="D22" s="52"/>
      <c r="E22" s="52"/>
      <c r="F22" s="52"/>
      <c r="G22" s="52"/>
      <c r="H22" s="52"/>
      <c r="I22" s="52"/>
      <c r="J22" s="52"/>
      <c r="K22" s="52"/>
      <c r="L22" s="64" t="str">
        <f t="shared" si="0"/>
        <v/>
      </c>
      <c r="M22" s="52"/>
      <c r="N22" s="52"/>
      <c r="O22" s="52"/>
      <c r="P22" s="52"/>
      <c r="Q22" s="52"/>
      <c r="R22" s="55"/>
      <c r="S22" s="57"/>
    </row>
    <row r="23" ht="19.5" customHeight="1" spans="2:19">
      <c r="B23" s="54"/>
      <c r="C23" s="52"/>
      <c r="D23" s="52"/>
      <c r="E23" s="52"/>
      <c r="F23" s="52"/>
      <c r="G23" s="52"/>
      <c r="H23" s="52"/>
      <c r="I23" s="52"/>
      <c r="J23" s="52"/>
      <c r="K23" s="52"/>
      <c r="L23" s="64" t="str">
        <f t="shared" si="0"/>
        <v/>
      </c>
      <c r="M23" s="52"/>
      <c r="N23" s="52"/>
      <c r="O23" s="52"/>
      <c r="P23" s="52"/>
      <c r="Q23" s="52"/>
      <c r="R23" s="55"/>
      <c r="S23" s="54"/>
    </row>
    <row r="24" ht="19.5" customHeight="1" spans="2:19">
      <c r="B24" s="57"/>
      <c r="C24" s="52"/>
      <c r="D24" s="52"/>
      <c r="E24" s="52"/>
      <c r="F24" s="52"/>
      <c r="G24" s="52"/>
      <c r="H24" s="52"/>
      <c r="I24" s="52"/>
      <c r="J24" s="52"/>
      <c r="K24" s="52"/>
      <c r="L24" s="64" t="str">
        <f t="shared" si="0"/>
        <v/>
      </c>
      <c r="M24" s="52"/>
      <c r="N24" s="52"/>
      <c r="O24" s="52"/>
      <c r="P24" s="52"/>
      <c r="Q24" s="52"/>
      <c r="R24" s="55"/>
      <c r="S24" s="57"/>
    </row>
    <row r="25" ht="19.5" customHeight="1" spans="2:19">
      <c r="B25" s="54"/>
      <c r="C25" s="52"/>
      <c r="D25" s="52"/>
      <c r="E25" s="52"/>
      <c r="F25" s="52"/>
      <c r="G25" s="52"/>
      <c r="H25" s="52"/>
      <c r="I25" s="52"/>
      <c r="J25" s="52"/>
      <c r="K25" s="52"/>
      <c r="L25" s="64" t="str">
        <f t="shared" si="0"/>
        <v/>
      </c>
      <c r="M25" s="52"/>
      <c r="N25" s="52"/>
      <c r="O25" s="52"/>
      <c r="P25" s="52"/>
      <c r="Q25" s="52"/>
      <c r="R25" s="55"/>
      <c r="S25" s="54"/>
    </row>
    <row r="26" ht="19.5" customHeight="1" spans="2:19">
      <c r="B26" s="57"/>
      <c r="C26" s="52"/>
      <c r="D26" s="52"/>
      <c r="E26" s="52"/>
      <c r="F26" s="52"/>
      <c r="G26" s="52"/>
      <c r="H26" s="52"/>
      <c r="I26" s="52"/>
      <c r="J26" s="52"/>
      <c r="K26" s="52"/>
      <c r="L26" s="64" t="str">
        <f t="shared" si="0"/>
        <v/>
      </c>
      <c r="M26" s="52"/>
      <c r="N26" s="52"/>
      <c r="O26" s="52"/>
      <c r="P26" s="52"/>
      <c r="Q26" s="52"/>
      <c r="R26" s="55"/>
      <c r="S26" s="57"/>
    </row>
    <row r="27" ht="19.5" customHeight="1" spans="2:19">
      <c r="B27" s="54"/>
      <c r="C27" s="52"/>
      <c r="D27" s="52"/>
      <c r="E27" s="52"/>
      <c r="F27" s="52"/>
      <c r="G27" s="52"/>
      <c r="H27" s="52"/>
      <c r="I27" s="52"/>
      <c r="J27" s="52"/>
      <c r="K27" s="52"/>
      <c r="L27" s="64" t="str">
        <f t="shared" si="0"/>
        <v/>
      </c>
      <c r="M27" s="52"/>
      <c r="N27" s="52"/>
      <c r="O27" s="52"/>
      <c r="P27" s="52"/>
      <c r="Q27" s="52"/>
      <c r="R27" s="55"/>
      <c r="S27" s="54"/>
    </row>
    <row r="28" ht="19.5" customHeight="1" spans="2:19">
      <c r="B28" s="57"/>
      <c r="C28" s="52"/>
      <c r="D28" s="52"/>
      <c r="E28" s="52"/>
      <c r="F28" s="52"/>
      <c r="G28" s="52"/>
      <c r="H28" s="52"/>
      <c r="I28" s="52"/>
      <c r="J28" s="52"/>
      <c r="K28" s="52"/>
      <c r="L28" s="64" t="str">
        <f t="shared" si="0"/>
        <v/>
      </c>
      <c r="M28" s="52"/>
      <c r="N28" s="52"/>
      <c r="O28" s="52"/>
      <c r="P28" s="52"/>
      <c r="Q28" s="52"/>
      <c r="R28" s="55"/>
      <c r="S28" s="57"/>
    </row>
    <row r="29" ht="19.5" customHeight="1" spans="2:19">
      <c r="B29" s="54"/>
      <c r="C29" s="52"/>
      <c r="D29" s="52"/>
      <c r="E29" s="52"/>
      <c r="F29" s="52"/>
      <c r="G29" s="52"/>
      <c r="H29" s="52"/>
      <c r="I29" s="52"/>
      <c r="J29" s="52"/>
      <c r="K29" s="52"/>
      <c r="L29" s="64" t="str">
        <f t="shared" si="0"/>
        <v/>
      </c>
      <c r="M29" s="52"/>
      <c r="N29" s="52"/>
      <c r="O29" s="52"/>
      <c r="P29" s="52"/>
      <c r="Q29" s="52"/>
      <c r="R29" s="55"/>
      <c r="S29" s="54"/>
    </row>
    <row r="30" ht="19.5" customHeight="1" spans="2:19">
      <c r="B30" s="57"/>
      <c r="C30" s="52"/>
      <c r="D30" s="52"/>
      <c r="E30" s="52"/>
      <c r="F30" s="52"/>
      <c r="G30" s="52"/>
      <c r="H30" s="52"/>
      <c r="I30" s="52"/>
      <c r="J30" s="52"/>
      <c r="K30" s="52"/>
      <c r="L30" s="64" t="str">
        <f t="shared" si="0"/>
        <v/>
      </c>
      <c r="M30" s="52"/>
      <c r="N30" s="52"/>
      <c r="O30" s="52"/>
      <c r="P30" s="52"/>
      <c r="Q30" s="52"/>
      <c r="R30" s="55"/>
      <c r="S30" s="57"/>
    </row>
    <row r="31" ht="19.5" customHeight="1" spans="2:19">
      <c r="B31" s="54"/>
      <c r="C31" s="52"/>
      <c r="D31" s="52"/>
      <c r="E31" s="52"/>
      <c r="F31" s="52"/>
      <c r="G31" s="52"/>
      <c r="H31" s="52"/>
      <c r="I31" s="52"/>
      <c r="J31" s="52"/>
      <c r="K31" s="52"/>
      <c r="L31" s="64" t="str">
        <f t="shared" si="0"/>
        <v/>
      </c>
      <c r="M31" s="52"/>
      <c r="N31" s="52"/>
      <c r="O31" s="52"/>
      <c r="P31" s="52"/>
      <c r="Q31" s="52"/>
      <c r="R31" s="55"/>
      <c r="S31" s="54"/>
    </row>
    <row r="32" ht="19.5" customHeight="1" spans="2:19">
      <c r="B32" s="57"/>
      <c r="C32" s="52"/>
      <c r="D32" s="52"/>
      <c r="E32" s="52"/>
      <c r="F32" s="52"/>
      <c r="G32" s="52"/>
      <c r="H32" s="52"/>
      <c r="I32" s="52"/>
      <c r="J32" s="52"/>
      <c r="K32" s="52"/>
      <c r="L32" s="64" t="str">
        <f t="shared" si="0"/>
        <v/>
      </c>
      <c r="M32" s="52"/>
      <c r="N32" s="52"/>
      <c r="O32" s="52"/>
      <c r="P32" s="52"/>
      <c r="Q32" s="52"/>
      <c r="R32" s="55"/>
      <c r="S32" s="57"/>
    </row>
    <row r="33" ht="19.5" customHeight="1" spans="2:19">
      <c r="B33" s="54"/>
      <c r="C33" s="52"/>
      <c r="D33" s="52"/>
      <c r="E33" s="52"/>
      <c r="F33" s="52"/>
      <c r="G33" s="52"/>
      <c r="H33" s="52"/>
      <c r="I33" s="52"/>
      <c r="J33" s="52"/>
      <c r="K33" s="52"/>
      <c r="L33" s="64" t="str">
        <f t="shared" si="0"/>
        <v/>
      </c>
      <c r="M33" s="52"/>
      <c r="N33" s="52"/>
      <c r="O33" s="52"/>
      <c r="P33" s="52"/>
      <c r="Q33" s="52"/>
      <c r="R33" s="55"/>
      <c r="S33" s="54"/>
    </row>
    <row r="34" ht="19.5" customHeight="1" spans="2:19">
      <c r="B34" s="57"/>
      <c r="C34" s="52"/>
      <c r="D34" s="52"/>
      <c r="E34" s="52"/>
      <c r="F34" s="52"/>
      <c r="G34" s="52"/>
      <c r="H34" s="52"/>
      <c r="I34" s="52"/>
      <c r="J34" s="52"/>
      <c r="K34" s="52"/>
      <c r="L34" s="64" t="str">
        <f t="shared" si="0"/>
        <v/>
      </c>
      <c r="M34" s="52"/>
      <c r="N34" s="52"/>
      <c r="O34" s="52"/>
      <c r="P34" s="52"/>
      <c r="Q34" s="52"/>
      <c r="R34" s="55"/>
      <c r="S34" s="57"/>
    </row>
    <row r="35" ht="19.5" customHeight="1" spans="2:19">
      <c r="B35" s="54"/>
      <c r="C35" s="52"/>
      <c r="D35" s="52"/>
      <c r="E35" s="52"/>
      <c r="F35" s="52"/>
      <c r="G35" s="52"/>
      <c r="H35" s="52"/>
      <c r="I35" s="52"/>
      <c r="J35" s="52"/>
      <c r="K35" s="52"/>
      <c r="L35" s="64" t="str">
        <f t="shared" si="0"/>
        <v/>
      </c>
      <c r="M35" s="52"/>
      <c r="N35" s="52"/>
      <c r="O35" s="52"/>
      <c r="P35" s="52"/>
      <c r="Q35" s="52"/>
      <c r="R35" s="55"/>
      <c r="S35" s="54"/>
    </row>
    <row r="36" ht="19.5" customHeight="1" spans="2:19">
      <c r="B36" s="57"/>
      <c r="C36" s="52"/>
      <c r="D36" s="52"/>
      <c r="E36" s="52"/>
      <c r="F36" s="52"/>
      <c r="G36" s="52"/>
      <c r="H36" s="52"/>
      <c r="I36" s="52"/>
      <c r="J36" s="52"/>
      <c r="K36" s="52"/>
      <c r="L36" s="64" t="str">
        <f t="shared" si="0"/>
        <v/>
      </c>
      <c r="M36" s="52"/>
      <c r="N36" s="52"/>
      <c r="O36" s="52"/>
      <c r="P36" s="52"/>
      <c r="Q36" s="52"/>
      <c r="R36" s="55"/>
      <c r="S36" s="57"/>
    </row>
    <row r="37" ht="19.5" customHeight="1" spans="2:19">
      <c r="B37" s="54"/>
      <c r="C37" s="52"/>
      <c r="D37" s="52"/>
      <c r="E37" s="52"/>
      <c r="F37" s="52"/>
      <c r="G37" s="52"/>
      <c r="H37" s="52"/>
      <c r="I37" s="52"/>
      <c r="J37" s="52"/>
      <c r="K37" s="52"/>
      <c r="L37" s="64" t="str">
        <f t="shared" si="0"/>
        <v/>
      </c>
      <c r="M37" s="52"/>
      <c r="N37" s="52"/>
      <c r="O37" s="52"/>
      <c r="P37" s="52"/>
      <c r="Q37" s="52"/>
      <c r="R37" s="55"/>
      <c r="S37" s="54"/>
    </row>
    <row r="38" ht="19.5" customHeight="1" spans="2:19">
      <c r="B38" s="57"/>
      <c r="C38" s="52"/>
      <c r="D38" s="52"/>
      <c r="E38" s="52"/>
      <c r="F38" s="52"/>
      <c r="G38" s="52"/>
      <c r="H38" s="52"/>
      <c r="I38" s="52"/>
      <c r="J38" s="52"/>
      <c r="K38" s="52"/>
      <c r="L38" s="64" t="str">
        <f t="shared" si="0"/>
        <v/>
      </c>
      <c r="M38" s="52"/>
      <c r="N38" s="52"/>
      <c r="O38" s="52"/>
      <c r="P38" s="52"/>
      <c r="Q38" s="52"/>
      <c r="R38" s="55"/>
      <c r="S38" s="57"/>
    </row>
    <row r="39" ht="19.5" customHeight="1" spans="2:19">
      <c r="B39" s="54"/>
      <c r="C39" s="52"/>
      <c r="D39" s="52"/>
      <c r="E39" s="52"/>
      <c r="F39" s="52"/>
      <c r="G39" s="52"/>
      <c r="H39" s="52"/>
      <c r="I39" s="52"/>
      <c r="J39" s="52"/>
      <c r="K39" s="52"/>
      <c r="L39" s="64" t="str">
        <f t="shared" si="0"/>
        <v/>
      </c>
      <c r="M39" s="52"/>
      <c r="N39" s="52"/>
      <c r="O39" s="52"/>
      <c r="P39" s="52"/>
      <c r="Q39" s="52"/>
      <c r="R39" s="55"/>
      <c r="S39" s="54"/>
    </row>
    <row r="40" ht="19.5" customHeight="1" spans="2:19">
      <c r="B40" s="57"/>
      <c r="C40" s="52"/>
      <c r="D40" s="52"/>
      <c r="E40" s="52"/>
      <c r="F40" s="52"/>
      <c r="G40" s="52"/>
      <c r="H40" s="52"/>
      <c r="I40" s="52"/>
      <c r="J40" s="52"/>
      <c r="K40" s="52"/>
      <c r="L40" s="64" t="str">
        <f t="shared" si="0"/>
        <v/>
      </c>
      <c r="M40" s="52"/>
      <c r="N40" s="52"/>
      <c r="O40" s="52"/>
      <c r="P40" s="52"/>
      <c r="Q40" s="52"/>
      <c r="R40" s="55"/>
      <c r="S40" s="57"/>
    </row>
    <row r="41" ht="19.5" customHeight="1" spans="2:19">
      <c r="B41" s="54"/>
      <c r="C41" s="52"/>
      <c r="D41" s="52"/>
      <c r="E41" s="52"/>
      <c r="F41" s="52"/>
      <c r="G41" s="52"/>
      <c r="H41" s="52"/>
      <c r="I41" s="52"/>
      <c r="J41" s="52"/>
      <c r="K41" s="52"/>
      <c r="L41" s="64" t="str">
        <f t="shared" si="0"/>
        <v/>
      </c>
      <c r="M41" s="52"/>
      <c r="N41" s="52"/>
      <c r="O41" s="52"/>
      <c r="P41" s="52"/>
      <c r="Q41" s="52"/>
      <c r="R41" s="55"/>
      <c r="S41" s="54"/>
    </row>
    <row r="42" ht="19.5" customHeight="1" spans="2:19">
      <c r="B42" s="57"/>
      <c r="C42" s="52"/>
      <c r="D42" s="52"/>
      <c r="E42" s="52"/>
      <c r="F42" s="52"/>
      <c r="G42" s="52"/>
      <c r="H42" s="52"/>
      <c r="I42" s="52"/>
      <c r="J42" s="52"/>
      <c r="K42" s="52"/>
      <c r="L42" s="64" t="str">
        <f t="shared" si="0"/>
        <v/>
      </c>
      <c r="M42" s="52"/>
      <c r="N42" s="52"/>
      <c r="O42" s="52"/>
      <c r="P42" s="52"/>
      <c r="Q42" s="52"/>
      <c r="R42" s="55"/>
      <c r="S42" s="57"/>
    </row>
    <row r="43" ht="19.5" customHeight="1" spans="2:19">
      <c r="B43" s="54"/>
      <c r="C43" s="52"/>
      <c r="D43" s="52"/>
      <c r="E43" s="52"/>
      <c r="F43" s="52"/>
      <c r="G43" s="52"/>
      <c r="H43" s="52"/>
      <c r="I43" s="52"/>
      <c r="J43" s="52"/>
      <c r="K43" s="52"/>
      <c r="L43" s="64" t="str">
        <f t="shared" si="0"/>
        <v/>
      </c>
      <c r="M43" s="52"/>
      <c r="N43" s="52"/>
      <c r="O43" s="52"/>
      <c r="P43" s="52"/>
      <c r="Q43" s="52"/>
      <c r="R43" s="55"/>
      <c r="S43" s="54"/>
    </row>
    <row r="44" ht="19.5" customHeight="1" spans="2:19">
      <c r="B44" s="57"/>
      <c r="C44" s="52"/>
      <c r="D44" s="52"/>
      <c r="E44" s="52"/>
      <c r="F44" s="52"/>
      <c r="G44" s="52"/>
      <c r="H44" s="52"/>
      <c r="I44" s="52"/>
      <c r="J44" s="52"/>
      <c r="K44" s="52"/>
      <c r="L44" s="64" t="str">
        <f t="shared" si="0"/>
        <v/>
      </c>
      <c r="M44" s="52"/>
      <c r="N44" s="52"/>
      <c r="O44" s="52"/>
      <c r="P44" s="52"/>
      <c r="Q44" s="52"/>
      <c r="R44" s="55"/>
      <c r="S44" s="57"/>
    </row>
    <row r="45" ht="19.5" customHeight="1" spans="2:19">
      <c r="B45" s="54"/>
      <c r="C45" s="52"/>
      <c r="D45" s="52"/>
      <c r="E45" s="52"/>
      <c r="F45" s="52"/>
      <c r="G45" s="52"/>
      <c r="H45" s="52"/>
      <c r="I45" s="52"/>
      <c r="J45" s="52"/>
      <c r="K45" s="52"/>
      <c r="L45" s="64" t="str">
        <f t="shared" si="0"/>
        <v/>
      </c>
      <c r="M45" s="52"/>
      <c r="N45" s="52"/>
      <c r="O45" s="52"/>
      <c r="P45" s="52"/>
      <c r="Q45" s="52"/>
      <c r="R45" s="55"/>
      <c r="S45" s="54"/>
    </row>
    <row r="46" ht="19.5" customHeight="1" spans="2:19">
      <c r="B46" s="57"/>
      <c r="C46" s="52"/>
      <c r="D46" s="52"/>
      <c r="E46" s="52"/>
      <c r="F46" s="52"/>
      <c r="G46" s="52"/>
      <c r="H46" s="52"/>
      <c r="I46" s="52"/>
      <c r="J46" s="52"/>
      <c r="K46" s="52"/>
      <c r="L46" s="64" t="str">
        <f t="shared" si="0"/>
        <v/>
      </c>
      <c r="M46" s="52"/>
      <c r="N46" s="52"/>
      <c r="O46" s="52"/>
      <c r="P46" s="52"/>
      <c r="Q46" s="52"/>
      <c r="R46" s="55"/>
      <c r="S46" s="57"/>
    </row>
    <row r="47" ht="19.5" customHeight="1" spans="2:19">
      <c r="B47" s="54"/>
      <c r="C47" s="52"/>
      <c r="D47" s="52"/>
      <c r="E47" s="52"/>
      <c r="F47" s="52"/>
      <c r="G47" s="52"/>
      <c r="H47" s="52"/>
      <c r="I47" s="52"/>
      <c r="J47" s="52"/>
      <c r="K47" s="52"/>
      <c r="L47" s="64" t="str">
        <f t="shared" si="0"/>
        <v/>
      </c>
      <c r="M47" s="52"/>
      <c r="N47" s="52"/>
      <c r="O47" s="52"/>
      <c r="P47" s="52"/>
      <c r="Q47" s="52"/>
      <c r="R47" s="55"/>
      <c r="S47" s="54"/>
    </row>
    <row r="48" ht="19.5" customHeight="1" spans="2:19">
      <c r="B48" s="57"/>
      <c r="C48" s="52"/>
      <c r="D48" s="52"/>
      <c r="E48" s="52"/>
      <c r="F48" s="52"/>
      <c r="G48" s="52"/>
      <c r="H48" s="52"/>
      <c r="I48" s="52"/>
      <c r="J48" s="52"/>
      <c r="K48" s="52"/>
      <c r="L48" s="64" t="str">
        <f t="shared" si="0"/>
        <v/>
      </c>
      <c r="M48" s="52"/>
      <c r="N48" s="52"/>
      <c r="O48" s="52"/>
      <c r="P48" s="52"/>
      <c r="Q48" s="52"/>
      <c r="R48" s="55"/>
      <c r="S48" s="57"/>
    </row>
    <row r="49" ht="19.5" customHeight="1" spans="2:19">
      <c r="B49" s="54"/>
      <c r="C49" s="52"/>
      <c r="D49" s="52"/>
      <c r="E49" s="52"/>
      <c r="F49" s="52"/>
      <c r="G49" s="52"/>
      <c r="H49" s="52"/>
      <c r="I49" s="52"/>
      <c r="J49" s="52"/>
      <c r="K49" s="52"/>
      <c r="L49" s="64" t="str">
        <f t="shared" si="0"/>
        <v/>
      </c>
      <c r="M49" s="52"/>
      <c r="N49" s="52"/>
      <c r="O49" s="52"/>
      <c r="P49" s="52"/>
      <c r="Q49" s="52"/>
      <c r="R49" s="55"/>
      <c r="S49" s="54"/>
    </row>
    <row r="50" ht="19.5" customHeight="1" spans="2:19">
      <c r="B50" s="57"/>
      <c r="C50" s="52"/>
      <c r="D50" s="52"/>
      <c r="E50" s="52"/>
      <c r="F50" s="52"/>
      <c r="G50" s="52"/>
      <c r="H50" s="52"/>
      <c r="I50" s="52"/>
      <c r="J50" s="52"/>
      <c r="K50" s="52"/>
      <c r="L50" s="64" t="str">
        <f t="shared" si="0"/>
        <v/>
      </c>
      <c r="M50" s="52"/>
      <c r="N50" s="52"/>
      <c r="O50" s="52"/>
      <c r="P50" s="52"/>
      <c r="Q50" s="52"/>
      <c r="R50" s="55"/>
      <c r="S50" s="57"/>
    </row>
  </sheetData>
  <mergeCells count="3">
    <mergeCell ref="B2:R2"/>
    <mergeCell ref="B3:R3"/>
    <mergeCell ref="B4:R4"/>
  </mergeCells>
  <dataValidations count="5">
    <dataValidation type="list" allowBlank="1" showInputMessage="1" showErrorMessage="1" errorTitle="Erro de Validação" error="Valor inválido" promptTitle="Acto" prompt="Seleccione o tipo de acto académico" sqref="E6:E50">
      <formula1>"Defesa,Pré-Defesa"</formula1>
    </dataValidation>
    <dataValidation type="list" allowBlank="1" showInputMessage="1" showErrorMessage="1" errorTitle="Erro de Validação" error="Valor inválido" promptTitle="Curso" prompt="Seleccione o Curso / Departamento" sqref="H6:H50">
      <formula1>⚙ '[1]#REF'!$B$2:$B$6</formula1>
    </dataValidation>
    <dataValidation type="list" allowBlank="1" showInputMessage="1" showErrorMessage="1" errorTitle="Erro de Validação" error="Valor inválido" promptTitle="Tipo" prompt="Individual (1 estudante) ou Dupla (2 estudantes)" sqref="I6:I50">
      <formula1>"Individual,Dupla"</formula1>
    </dataValidation>
    <dataValidation type="list" allowBlank="1" showInputMessage="1" showErrorMessage="1" errorTitle="Erro de Validação" error="Valor inválido" promptTitle="Membro" prompt="Seleccione o membro do júri" sqref="M6:M50 N6:N50 O6:O50 P6:P50 Q6:Q50">
      <formula1>'⚙ LISTAS'!$A$2:$A$11</formula1>
    </dataValidation>
    <dataValidation type="list" allowBlank="1" showInputMessage="1" showErrorMessage="1" errorTitle="Erro de Validação" error="Valor inválido" promptTitle="Resultado" prompt="Defesa: 10-20 ou Reprovado | Pré-Defesa: Aprovado/Reprovado/Pendente/Condicionado" sqref="R6:R50">
      <formula1>'⚙ LISTAS'!$G$2:$G$13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B1:J60"/>
  <sheetViews>
    <sheetView showGridLines="0" workbookViewId="0">
      <pane xSplit="1" ySplit="5" topLeftCell="B24" activePane="bottomRight" state="frozen"/>
      <selection/>
      <selection pane="topRight"/>
      <selection pane="bottomLeft"/>
      <selection pane="bottomRight" activeCell="F7" sqref="F7"/>
    </sheetView>
  </sheetViews>
  <sheetFormatPr defaultColWidth="8.67592592592593" defaultRowHeight="14.4"/>
  <cols>
    <col min="1" max="1" width="3" customWidth="1"/>
    <col min="2" max="2" width="7" customWidth="1"/>
    <col min="3" max="3" width="20" customWidth="1"/>
    <col min="4" max="4" width="30" customWidth="1"/>
    <col min="5" max="5" width="16" customWidth="1"/>
    <col min="6" max="6" width="22.8888888888889" customWidth="1"/>
    <col min="7" max="7" width="12" customWidth="1"/>
    <col min="8" max="8" width="14" customWidth="1"/>
    <col min="9" max="9" width="12" customWidth="1"/>
    <col min="10" max="10" width="16" customWidth="1"/>
    <col min="11" max="11" width="3" customWidth="1"/>
  </cols>
  <sheetData>
    <row r="1" ht="15.15"/>
    <row r="2" ht="31.5" customHeight="1" spans="2:10">
      <c r="B2" s="1" t="s">
        <v>84</v>
      </c>
      <c r="C2" s="1"/>
      <c r="D2" s="1"/>
      <c r="E2" s="1"/>
      <c r="F2" s="1"/>
      <c r="G2" s="1"/>
      <c r="H2" s="1"/>
      <c r="I2" s="1"/>
      <c r="J2" s="1"/>
    </row>
    <row r="3" ht="24" customHeight="1" spans="2:10">
      <c r="B3" s="44" t="s">
        <v>230</v>
      </c>
      <c r="C3" s="44"/>
      <c r="D3" s="44"/>
      <c r="E3" s="44"/>
      <c r="F3" s="44"/>
      <c r="G3" s="44"/>
      <c r="H3" s="44"/>
      <c r="I3" s="44"/>
      <c r="J3" s="44"/>
    </row>
    <row r="4" ht="14" customHeight="1" spans="2:10">
      <c r="B4" s="45" t="s">
        <v>231</v>
      </c>
      <c r="C4" s="45"/>
      <c r="D4" s="45"/>
      <c r="E4" s="45"/>
      <c r="F4" s="45"/>
      <c r="G4" s="45"/>
      <c r="H4" s="45"/>
      <c r="I4" s="45"/>
      <c r="J4" s="45"/>
    </row>
    <row r="5" ht="48" customHeight="1" spans="2:10">
      <c r="B5" s="47" t="s">
        <v>192</v>
      </c>
      <c r="C5" s="47" t="s">
        <v>232</v>
      </c>
      <c r="D5" s="47" t="s">
        <v>233</v>
      </c>
      <c r="E5" s="47" t="s">
        <v>234</v>
      </c>
      <c r="F5" s="47" t="s">
        <v>235</v>
      </c>
      <c r="G5" s="47" t="s">
        <v>199</v>
      </c>
      <c r="H5" s="47" t="s">
        <v>236</v>
      </c>
      <c r="I5" s="47" t="s">
        <v>237</v>
      </c>
      <c r="J5" s="47" t="s">
        <v>238</v>
      </c>
    </row>
    <row r="6" ht="19.5" customHeight="1" spans="2:10">
      <c r="B6" s="61">
        <v>1</v>
      </c>
      <c r="C6" s="62" t="s">
        <v>210</v>
      </c>
      <c r="D6" s="63" t="s">
        <v>26</v>
      </c>
      <c r="E6" s="64" t="s">
        <v>166</v>
      </c>
      <c r="F6" s="64" t="s">
        <v>17</v>
      </c>
      <c r="G6" s="64" t="s">
        <v>18</v>
      </c>
      <c r="H6" s="65" t="s">
        <v>215</v>
      </c>
      <c r="I6" s="64" t="str">
        <f t="shared" ref="I6:I59" si="0">IF(H6="","",MID("JanFevMarAbrMaiJunJulAgoSetOutNovDez",VALUE(MID(H6,4,2))*3-2,3)&amp;"/"&amp;RIGHT(H6,4))</f>
        <v>Fev/2026</v>
      </c>
      <c r="J6" s="49">
        <v>20000</v>
      </c>
    </row>
    <row r="7" ht="19.5" customHeight="1" spans="2:10">
      <c r="B7" s="66">
        <v>2</v>
      </c>
      <c r="C7" s="67" t="s">
        <v>210</v>
      </c>
      <c r="D7" s="68" t="s">
        <v>61</v>
      </c>
      <c r="E7" s="69" t="s">
        <v>239</v>
      </c>
      <c r="F7" s="69" t="s">
        <v>28</v>
      </c>
      <c r="G7" s="69" t="s">
        <v>18</v>
      </c>
      <c r="H7" s="70" t="s">
        <v>215</v>
      </c>
      <c r="I7" s="64" t="str">
        <f t="shared" si="0"/>
        <v>Fev/2026</v>
      </c>
      <c r="J7" s="49">
        <v>20000</v>
      </c>
    </row>
    <row r="8" ht="19.5" customHeight="1" spans="2:10">
      <c r="B8" s="71">
        <v>3</v>
      </c>
      <c r="C8" s="72" t="s">
        <v>210</v>
      </c>
      <c r="D8" s="73" t="s">
        <v>55</v>
      </c>
      <c r="E8" s="74" t="s">
        <v>176</v>
      </c>
      <c r="F8" s="74" t="s">
        <v>39</v>
      </c>
      <c r="G8" s="74" t="s">
        <v>18</v>
      </c>
      <c r="H8" s="75" t="s">
        <v>215</v>
      </c>
      <c r="I8" s="64" t="str">
        <f t="shared" si="0"/>
        <v>Fev/2026</v>
      </c>
      <c r="J8" s="49">
        <v>80000</v>
      </c>
    </row>
    <row r="9" ht="19.5" customHeight="1" spans="2:10">
      <c r="B9" s="76">
        <v>4</v>
      </c>
      <c r="C9" s="77" t="s">
        <v>210</v>
      </c>
      <c r="D9" s="78" t="s">
        <v>77</v>
      </c>
      <c r="E9" s="79" t="s">
        <v>240</v>
      </c>
      <c r="F9" s="79" t="s">
        <v>57</v>
      </c>
      <c r="G9" s="79" t="s">
        <v>18</v>
      </c>
      <c r="H9" s="80" t="s">
        <v>215</v>
      </c>
      <c r="I9" s="64" t="str">
        <f t="shared" si="0"/>
        <v>Fev/2026</v>
      </c>
      <c r="J9" s="49">
        <v>10000</v>
      </c>
    </row>
    <row r="10" ht="19.5" customHeight="1" spans="2:10">
      <c r="B10" s="61">
        <v>5</v>
      </c>
      <c r="C10" s="62" t="s">
        <v>217</v>
      </c>
      <c r="D10" s="63" t="s">
        <v>26</v>
      </c>
      <c r="E10" s="64" t="s">
        <v>166</v>
      </c>
      <c r="F10" s="64" t="s">
        <v>17</v>
      </c>
      <c r="G10" s="64" t="s">
        <v>29</v>
      </c>
      <c r="H10" s="65" t="s">
        <v>222</v>
      </c>
      <c r="I10" s="64" t="str">
        <f t="shared" si="0"/>
        <v>Fev/2026</v>
      </c>
      <c r="J10" s="49">
        <v>27500</v>
      </c>
    </row>
    <row r="11" ht="19.5" customHeight="1" spans="2:10">
      <c r="B11" s="66">
        <v>6</v>
      </c>
      <c r="C11" s="67" t="s">
        <v>217</v>
      </c>
      <c r="D11" s="68" t="s">
        <v>46</v>
      </c>
      <c r="E11" s="69" t="s">
        <v>239</v>
      </c>
      <c r="F11" s="69" t="s">
        <v>28</v>
      </c>
      <c r="G11" s="69" t="s">
        <v>29</v>
      </c>
      <c r="H11" s="70" t="s">
        <v>222</v>
      </c>
      <c r="I11" s="64" t="str">
        <f t="shared" si="0"/>
        <v>Fev/2026</v>
      </c>
      <c r="J11" s="49">
        <v>27500</v>
      </c>
    </row>
    <row r="12" ht="19.5" customHeight="1" spans="2:10">
      <c r="B12" s="71">
        <v>7</v>
      </c>
      <c r="C12" s="72" t="s">
        <v>217</v>
      </c>
      <c r="D12" s="73" t="s">
        <v>65</v>
      </c>
      <c r="E12" s="74" t="s">
        <v>176</v>
      </c>
      <c r="F12" s="74" t="s">
        <v>39</v>
      </c>
      <c r="G12" s="74" t="s">
        <v>29</v>
      </c>
      <c r="H12" s="75" t="s">
        <v>222</v>
      </c>
      <c r="I12" s="64" t="str">
        <f t="shared" si="0"/>
        <v>Fev/2026</v>
      </c>
      <c r="J12" s="49">
        <v>104000</v>
      </c>
    </row>
    <row r="13" ht="19.5" customHeight="1" spans="2:10">
      <c r="B13" s="76">
        <v>8</v>
      </c>
      <c r="C13" s="77" t="s">
        <v>217</v>
      </c>
      <c r="D13" s="78" t="s">
        <v>73</v>
      </c>
      <c r="E13" s="79" t="s">
        <v>240</v>
      </c>
      <c r="F13" s="79" t="s">
        <v>57</v>
      </c>
      <c r="G13" s="79" t="s">
        <v>29</v>
      </c>
      <c r="H13" s="80" t="s">
        <v>222</v>
      </c>
      <c r="I13" s="64" t="str">
        <f t="shared" si="0"/>
        <v>Fev/2026</v>
      </c>
      <c r="J13" s="49">
        <v>15000</v>
      </c>
    </row>
    <row r="14" ht="19.5" customHeight="1" spans="2:10">
      <c r="B14" s="61">
        <v>9</v>
      </c>
      <c r="C14" s="62" t="s">
        <v>224</v>
      </c>
      <c r="D14" s="63" t="s">
        <v>15</v>
      </c>
      <c r="E14" s="64" t="s">
        <v>166</v>
      </c>
      <c r="F14" s="64" t="s">
        <v>17</v>
      </c>
      <c r="G14" s="64" t="s">
        <v>18</v>
      </c>
      <c r="H14" s="65" t="s">
        <v>229</v>
      </c>
      <c r="I14" s="64" t="str">
        <f t="shared" si="0"/>
        <v>Mar/2026</v>
      </c>
      <c r="J14" s="49">
        <v>20000</v>
      </c>
    </row>
    <row r="15" ht="19.5" customHeight="1" spans="2:10">
      <c r="B15" s="66">
        <v>10</v>
      </c>
      <c r="C15" s="67" t="s">
        <v>224</v>
      </c>
      <c r="D15" s="68" t="s">
        <v>37</v>
      </c>
      <c r="E15" s="69" t="s">
        <v>239</v>
      </c>
      <c r="F15" s="69" t="s">
        <v>28</v>
      </c>
      <c r="G15" s="69" t="s">
        <v>18</v>
      </c>
      <c r="H15" s="70" t="s">
        <v>229</v>
      </c>
      <c r="I15" s="64" t="str">
        <f t="shared" si="0"/>
        <v>Mar/2026</v>
      </c>
      <c r="J15" s="49">
        <v>20000</v>
      </c>
    </row>
    <row r="16" ht="19.5" customHeight="1" spans="2:10">
      <c r="B16" s="71">
        <v>11</v>
      </c>
      <c r="C16" s="72" t="s">
        <v>224</v>
      </c>
      <c r="D16" s="73" t="s">
        <v>61</v>
      </c>
      <c r="E16" s="74" t="s">
        <v>239</v>
      </c>
      <c r="F16" s="74" t="s">
        <v>39</v>
      </c>
      <c r="G16" s="74" t="s">
        <v>18</v>
      </c>
      <c r="H16" s="75" t="s">
        <v>229</v>
      </c>
      <c r="I16" s="64" t="str">
        <f t="shared" si="0"/>
        <v>Mar/2026</v>
      </c>
      <c r="J16" s="49">
        <v>80000</v>
      </c>
    </row>
    <row r="17" ht="19.5" customHeight="1" spans="2:10">
      <c r="B17" s="76">
        <v>12</v>
      </c>
      <c r="C17" s="77" t="s">
        <v>224</v>
      </c>
      <c r="D17" s="78" t="s">
        <v>69</v>
      </c>
      <c r="E17" s="79" t="s">
        <v>240</v>
      </c>
      <c r="F17" s="79" t="s">
        <v>57</v>
      </c>
      <c r="G17" s="79" t="s">
        <v>18</v>
      </c>
      <c r="H17" s="80" t="s">
        <v>229</v>
      </c>
      <c r="I17" s="64" t="str">
        <f t="shared" si="0"/>
        <v>Mar/2026</v>
      </c>
      <c r="J17" s="49">
        <v>10000</v>
      </c>
    </row>
    <row r="18" ht="19.5" customHeight="1" spans="2:10">
      <c r="B18" s="57"/>
      <c r="C18" s="52"/>
      <c r="D18" s="52"/>
      <c r="E18" s="55"/>
      <c r="F18" s="55"/>
      <c r="G18" s="55"/>
      <c r="H18" s="52"/>
      <c r="I18" s="64" t="str">
        <f t="shared" si="0"/>
        <v/>
      </c>
      <c r="J18" s="81" t="str">
        <f>IFERROR(VLOOKUP(F18&amp;"|"&amp;G18,'📘 TABELA_SUBSÍDIOS'!$B$18:$E$27,4,0),"")</f>
        <v/>
      </c>
    </row>
    <row r="19" ht="19.5" customHeight="1" spans="2:10">
      <c r="B19" s="54"/>
      <c r="C19" s="52"/>
      <c r="D19" s="52"/>
      <c r="E19" s="55"/>
      <c r="F19" s="55"/>
      <c r="G19" s="55"/>
      <c r="H19" s="52"/>
      <c r="I19" s="64" t="str">
        <f t="shared" si="0"/>
        <v/>
      </c>
      <c r="J19" s="81" t="str">
        <f>IFERROR(VLOOKUP(F19&amp;"|"&amp;G19,'📘 TABELA_SUBSÍDIOS'!$B$18:$E$27,4,0),"")</f>
        <v/>
      </c>
    </row>
    <row r="20" ht="19.5" customHeight="1" spans="2:10">
      <c r="B20" s="57"/>
      <c r="C20" s="52"/>
      <c r="D20" s="52"/>
      <c r="E20" s="55"/>
      <c r="F20" s="55"/>
      <c r="G20" s="55"/>
      <c r="H20" s="52"/>
      <c r="I20" s="64" t="str">
        <f t="shared" si="0"/>
        <v/>
      </c>
      <c r="J20" s="81" t="str">
        <f>IFERROR(VLOOKUP(F20&amp;"|"&amp;G20,'📘 TABELA_SUBSÍDIOS'!$B$18:$E$27,4,0),"")</f>
        <v/>
      </c>
    </row>
    <row r="21" ht="19.5" customHeight="1" spans="2:10">
      <c r="B21" s="54"/>
      <c r="C21" s="52"/>
      <c r="D21" s="52"/>
      <c r="E21" s="55"/>
      <c r="F21" s="55"/>
      <c r="G21" s="55"/>
      <c r="H21" s="52"/>
      <c r="I21" s="64" t="str">
        <f t="shared" si="0"/>
        <v/>
      </c>
      <c r="J21" s="81" t="str">
        <f>IFERROR(VLOOKUP(F21&amp;"|"&amp;G21,'📘 TABELA_SUBSÍDIOS'!$B$18:$E$27,4,0),"")</f>
        <v/>
      </c>
    </row>
    <row r="22" ht="19.5" customHeight="1" spans="2:10">
      <c r="B22" s="57"/>
      <c r="C22" s="52"/>
      <c r="D22" s="52"/>
      <c r="E22" s="55"/>
      <c r="F22" s="55"/>
      <c r="G22" s="55"/>
      <c r="H22" s="52"/>
      <c r="I22" s="64" t="str">
        <f t="shared" si="0"/>
        <v/>
      </c>
      <c r="J22" s="81" t="str">
        <f>IFERROR(VLOOKUP(F22&amp;"|"&amp;G22,'📘 TABELA_SUBSÍDIOS'!$B$18:$E$27,4,0),"")</f>
        <v/>
      </c>
    </row>
    <row r="23" ht="19.5" customHeight="1" spans="2:10">
      <c r="B23" s="54"/>
      <c r="C23" s="52"/>
      <c r="D23" s="52"/>
      <c r="E23" s="55"/>
      <c r="F23" s="55"/>
      <c r="G23" s="55"/>
      <c r="H23" s="52"/>
      <c r="I23" s="64" t="str">
        <f t="shared" si="0"/>
        <v/>
      </c>
      <c r="J23" s="81" t="str">
        <f>IFERROR(VLOOKUP(F23&amp;"|"&amp;G23,'📘 TABELA_SUBSÍDIOS'!$B$18:$E$27,4,0),"")</f>
        <v/>
      </c>
    </row>
    <row r="24" ht="19.5" customHeight="1" spans="2:10">
      <c r="B24" s="57"/>
      <c r="C24" s="52"/>
      <c r="D24" s="52"/>
      <c r="E24" s="55"/>
      <c r="F24" s="55"/>
      <c r="G24" s="55"/>
      <c r="H24" s="52"/>
      <c r="I24" s="64" t="str">
        <f t="shared" si="0"/>
        <v/>
      </c>
      <c r="J24" s="81" t="str">
        <f>IFERROR(VLOOKUP(F24&amp;"|"&amp;G24,'📘 TABELA_SUBSÍDIOS'!$B$18:$E$27,4,0),"")</f>
        <v/>
      </c>
    </row>
    <row r="25" ht="19.5" customHeight="1" spans="2:10">
      <c r="B25" s="54"/>
      <c r="C25" s="52"/>
      <c r="D25" s="52"/>
      <c r="E25" s="55"/>
      <c r="F25" s="55"/>
      <c r="G25" s="55"/>
      <c r="H25" s="52"/>
      <c r="I25" s="64" t="str">
        <f t="shared" si="0"/>
        <v/>
      </c>
      <c r="J25" s="81" t="str">
        <f>IFERROR(VLOOKUP(F25&amp;"|"&amp;G25,'📘 TABELA_SUBSÍDIOS'!$B$18:$E$27,4,0),"")</f>
        <v/>
      </c>
    </row>
    <row r="26" ht="19.5" customHeight="1" spans="2:10">
      <c r="B26" s="57"/>
      <c r="C26" s="52"/>
      <c r="D26" s="52"/>
      <c r="E26" s="55"/>
      <c r="F26" s="55"/>
      <c r="G26" s="55"/>
      <c r="H26" s="52"/>
      <c r="I26" s="64" t="str">
        <f t="shared" si="0"/>
        <v/>
      </c>
      <c r="J26" s="81" t="str">
        <f>IFERROR(VLOOKUP(F26&amp;"|"&amp;G26,'📘 TABELA_SUBSÍDIOS'!$B$18:$E$27,4,0),"")</f>
        <v/>
      </c>
    </row>
    <row r="27" ht="19.5" customHeight="1" spans="2:10">
      <c r="B27" s="54"/>
      <c r="C27" s="52"/>
      <c r="D27" s="52"/>
      <c r="E27" s="55"/>
      <c r="F27" s="55"/>
      <c r="G27" s="55"/>
      <c r="H27" s="52"/>
      <c r="I27" s="64" t="str">
        <f t="shared" si="0"/>
        <v/>
      </c>
      <c r="J27" s="81" t="str">
        <f>IFERROR(VLOOKUP(F27&amp;"|"&amp;G27,'📘 TABELA_SUBSÍDIOS'!$B$18:$E$27,4,0),"")</f>
        <v/>
      </c>
    </row>
    <row r="28" ht="19.5" customHeight="1" spans="2:10">
      <c r="B28" s="57"/>
      <c r="C28" s="52"/>
      <c r="D28" s="52"/>
      <c r="E28" s="55"/>
      <c r="F28" s="55"/>
      <c r="G28" s="55"/>
      <c r="H28" s="52"/>
      <c r="I28" s="64" t="str">
        <f t="shared" si="0"/>
        <v/>
      </c>
      <c r="J28" s="81" t="str">
        <f>IFERROR(VLOOKUP(F28&amp;"|"&amp;G28,'📘 TABELA_SUBSÍDIOS'!$B$18:$E$27,4,0),"")</f>
        <v/>
      </c>
    </row>
    <row r="29" ht="19.5" customHeight="1" spans="2:10">
      <c r="B29" s="54"/>
      <c r="C29" s="52"/>
      <c r="D29" s="52"/>
      <c r="E29" s="55"/>
      <c r="F29" s="55"/>
      <c r="G29" s="55"/>
      <c r="H29" s="52"/>
      <c r="I29" s="64" t="str">
        <f t="shared" si="0"/>
        <v/>
      </c>
      <c r="J29" s="81" t="str">
        <f>IFERROR(VLOOKUP(F29&amp;"|"&amp;G29,'📘 TABELA_SUBSÍDIOS'!$B$18:$E$27,4,0),"")</f>
        <v/>
      </c>
    </row>
    <row r="30" ht="19.5" customHeight="1" spans="2:10">
      <c r="B30" s="57"/>
      <c r="C30" s="52"/>
      <c r="D30" s="52"/>
      <c r="E30" s="55"/>
      <c r="F30" s="55"/>
      <c r="G30" s="55"/>
      <c r="H30" s="52"/>
      <c r="I30" s="64" t="str">
        <f t="shared" si="0"/>
        <v/>
      </c>
      <c r="J30" s="81" t="str">
        <f>IFERROR(VLOOKUP(F30&amp;"|"&amp;G30,'📘 TABELA_SUBSÍDIOS'!$B$18:$E$27,4,0),"")</f>
        <v/>
      </c>
    </row>
    <row r="31" ht="19.5" customHeight="1" spans="2:10">
      <c r="B31" s="54"/>
      <c r="C31" s="52"/>
      <c r="D31" s="52"/>
      <c r="E31" s="55"/>
      <c r="F31" s="55"/>
      <c r="G31" s="55"/>
      <c r="H31" s="52"/>
      <c r="I31" s="64" t="str">
        <f t="shared" si="0"/>
        <v/>
      </c>
      <c r="J31" s="81" t="str">
        <f>IFERROR(VLOOKUP(F31&amp;"|"&amp;G31,'📘 TABELA_SUBSÍDIOS'!$B$18:$E$27,4,0),"")</f>
        <v/>
      </c>
    </row>
    <row r="32" ht="19.5" customHeight="1" spans="2:10">
      <c r="B32" s="57"/>
      <c r="C32" s="52"/>
      <c r="D32" s="52"/>
      <c r="E32" s="55"/>
      <c r="F32" s="55"/>
      <c r="G32" s="55"/>
      <c r="H32" s="52"/>
      <c r="I32" s="64" t="str">
        <f t="shared" si="0"/>
        <v/>
      </c>
      <c r="J32" s="81" t="str">
        <f>IFERROR(VLOOKUP(F32&amp;"|"&amp;G32,'📘 TABELA_SUBSÍDIOS'!$B$18:$E$27,4,0),"")</f>
        <v/>
      </c>
    </row>
    <row r="33" ht="19.5" customHeight="1" spans="2:10">
      <c r="B33" s="54"/>
      <c r="C33" s="52"/>
      <c r="D33" s="52"/>
      <c r="E33" s="55"/>
      <c r="F33" s="55"/>
      <c r="G33" s="55"/>
      <c r="H33" s="52"/>
      <c r="I33" s="64" t="str">
        <f t="shared" si="0"/>
        <v/>
      </c>
      <c r="J33" s="81" t="str">
        <f>IFERROR(VLOOKUP(F33&amp;"|"&amp;G33,'📘 TABELA_SUBSÍDIOS'!$B$18:$E$27,4,0),"")</f>
        <v/>
      </c>
    </row>
    <row r="34" ht="19.5" customHeight="1" spans="2:10">
      <c r="B34" s="57"/>
      <c r="C34" s="52"/>
      <c r="D34" s="52"/>
      <c r="E34" s="55"/>
      <c r="F34" s="55"/>
      <c r="G34" s="55"/>
      <c r="H34" s="52"/>
      <c r="I34" s="64" t="str">
        <f t="shared" si="0"/>
        <v/>
      </c>
      <c r="J34" s="81" t="str">
        <f>IFERROR(VLOOKUP(F34&amp;"|"&amp;G34,'📘 TABELA_SUBSÍDIOS'!$B$18:$E$27,4,0),"")</f>
        <v/>
      </c>
    </row>
    <row r="35" ht="19.5" customHeight="1" spans="2:10">
      <c r="B35" s="54"/>
      <c r="C35" s="52"/>
      <c r="D35" s="52"/>
      <c r="E35" s="55"/>
      <c r="F35" s="55"/>
      <c r="G35" s="55"/>
      <c r="H35" s="52"/>
      <c r="I35" s="64" t="str">
        <f t="shared" si="0"/>
        <v/>
      </c>
      <c r="J35" s="81" t="str">
        <f>IFERROR(VLOOKUP(F35&amp;"|"&amp;G35,'📘 TABELA_SUBSÍDIOS'!$B$18:$E$27,4,0),"")</f>
        <v/>
      </c>
    </row>
    <row r="36" ht="19.5" customHeight="1" spans="2:10">
      <c r="B36" s="57"/>
      <c r="C36" s="52"/>
      <c r="D36" s="52"/>
      <c r="E36" s="55"/>
      <c r="F36" s="55"/>
      <c r="G36" s="55"/>
      <c r="H36" s="52"/>
      <c r="I36" s="64" t="str">
        <f t="shared" si="0"/>
        <v/>
      </c>
      <c r="J36" s="81" t="str">
        <f>IFERROR(VLOOKUP(F36&amp;"|"&amp;G36,'📘 TABELA_SUBSÍDIOS'!$B$18:$E$27,4,0),"")</f>
        <v/>
      </c>
    </row>
    <row r="37" ht="19.5" customHeight="1" spans="2:10">
      <c r="B37" s="54"/>
      <c r="C37" s="52"/>
      <c r="D37" s="52"/>
      <c r="E37" s="55"/>
      <c r="F37" s="55"/>
      <c r="G37" s="55"/>
      <c r="H37" s="52"/>
      <c r="I37" s="64" t="str">
        <f t="shared" si="0"/>
        <v/>
      </c>
      <c r="J37" s="81" t="str">
        <f>IFERROR(VLOOKUP(F37&amp;"|"&amp;G37,'📘 TABELA_SUBSÍDIOS'!$B$18:$E$27,4,0),"")</f>
        <v/>
      </c>
    </row>
    <row r="38" ht="19.5" customHeight="1" spans="2:10">
      <c r="B38" s="57"/>
      <c r="C38" s="52"/>
      <c r="D38" s="52"/>
      <c r="E38" s="55"/>
      <c r="F38" s="55"/>
      <c r="G38" s="55"/>
      <c r="H38" s="52"/>
      <c r="I38" s="64" t="str">
        <f t="shared" si="0"/>
        <v/>
      </c>
      <c r="J38" s="81" t="str">
        <f>IFERROR(VLOOKUP(F38&amp;"|"&amp;G38,'📘 TABELA_SUBSÍDIOS'!$B$18:$E$27,4,0),"")</f>
        <v/>
      </c>
    </row>
    <row r="39" ht="19.5" customHeight="1" spans="2:10">
      <c r="B39" s="54"/>
      <c r="C39" s="52"/>
      <c r="D39" s="52"/>
      <c r="E39" s="55"/>
      <c r="F39" s="55"/>
      <c r="G39" s="55"/>
      <c r="H39" s="52"/>
      <c r="I39" s="64" t="str">
        <f t="shared" si="0"/>
        <v/>
      </c>
      <c r="J39" s="81" t="str">
        <f>IFERROR(VLOOKUP(F39&amp;"|"&amp;G39,'📘 TABELA_SUBSÍDIOS'!$B$18:$E$27,4,0),"")</f>
        <v/>
      </c>
    </row>
    <row r="40" ht="19.5" customHeight="1" spans="2:10">
      <c r="B40" s="57"/>
      <c r="C40" s="52"/>
      <c r="D40" s="52"/>
      <c r="E40" s="55"/>
      <c r="F40" s="55"/>
      <c r="G40" s="55"/>
      <c r="H40" s="52"/>
      <c r="I40" s="64" t="str">
        <f t="shared" si="0"/>
        <v/>
      </c>
      <c r="J40" s="81" t="str">
        <f>IFERROR(VLOOKUP(F40&amp;"|"&amp;G40,'📘 TABELA_SUBSÍDIOS'!$B$18:$E$27,4,0),"")</f>
        <v/>
      </c>
    </row>
    <row r="41" ht="19.5" customHeight="1" spans="2:10">
      <c r="B41" s="54"/>
      <c r="C41" s="52"/>
      <c r="D41" s="52"/>
      <c r="E41" s="55"/>
      <c r="F41" s="55"/>
      <c r="G41" s="55"/>
      <c r="H41" s="52"/>
      <c r="I41" s="64" t="str">
        <f t="shared" si="0"/>
        <v/>
      </c>
      <c r="J41" s="81" t="str">
        <f>IFERROR(VLOOKUP(F41&amp;"|"&amp;G41,'📘 TABELA_SUBSÍDIOS'!$B$18:$E$27,4,0),"")</f>
        <v/>
      </c>
    </row>
    <row r="42" ht="19.5" customHeight="1" spans="2:10">
      <c r="B42" s="57"/>
      <c r="C42" s="52"/>
      <c r="D42" s="52"/>
      <c r="E42" s="55"/>
      <c r="F42" s="55"/>
      <c r="G42" s="55"/>
      <c r="H42" s="52"/>
      <c r="I42" s="64" t="str">
        <f t="shared" si="0"/>
        <v/>
      </c>
      <c r="J42" s="81" t="str">
        <f>IFERROR(VLOOKUP(F42&amp;"|"&amp;G42,'📘 TABELA_SUBSÍDIOS'!$B$18:$E$27,4,0),"")</f>
        <v/>
      </c>
    </row>
    <row r="43" ht="19.5" customHeight="1" spans="2:10">
      <c r="B43" s="54"/>
      <c r="C43" s="52"/>
      <c r="D43" s="52"/>
      <c r="E43" s="55"/>
      <c r="F43" s="55"/>
      <c r="G43" s="55"/>
      <c r="H43" s="52"/>
      <c r="I43" s="64" t="str">
        <f t="shared" si="0"/>
        <v/>
      </c>
      <c r="J43" s="81" t="str">
        <f>IFERROR(VLOOKUP(F43&amp;"|"&amp;G43,'📘 TABELA_SUBSÍDIOS'!$B$18:$E$27,4,0),"")</f>
        <v/>
      </c>
    </row>
    <row r="44" ht="19.5" customHeight="1" spans="2:10">
      <c r="B44" s="57"/>
      <c r="C44" s="52"/>
      <c r="D44" s="52"/>
      <c r="E44" s="55"/>
      <c r="F44" s="55"/>
      <c r="G44" s="55"/>
      <c r="H44" s="52"/>
      <c r="I44" s="64" t="str">
        <f t="shared" si="0"/>
        <v/>
      </c>
      <c r="J44" s="81" t="str">
        <f>IFERROR(VLOOKUP(F44&amp;"|"&amp;G44,'📘 TABELA_SUBSÍDIOS'!$B$18:$E$27,4,0),"")</f>
        <v/>
      </c>
    </row>
    <row r="45" ht="19.5" customHeight="1" spans="2:10">
      <c r="B45" s="54"/>
      <c r="C45" s="52"/>
      <c r="D45" s="52"/>
      <c r="E45" s="55"/>
      <c r="F45" s="55"/>
      <c r="G45" s="55"/>
      <c r="H45" s="52"/>
      <c r="I45" s="64" t="str">
        <f t="shared" si="0"/>
        <v/>
      </c>
      <c r="J45" s="81" t="str">
        <f>IFERROR(VLOOKUP(F45&amp;"|"&amp;G45,'📘 TABELA_SUBSÍDIOS'!$B$18:$E$27,4,0),"")</f>
        <v/>
      </c>
    </row>
    <row r="46" ht="19.5" customHeight="1" spans="2:10">
      <c r="B46" s="57"/>
      <c r="C46" s="52"/>
      <c r="D46" s="52"/>
      <c r="E46" s="55"/>
      <c r="F46" s="55"/>
      <c r="G46" s="55"/>
      <c r="H46" s="52"/>
      <c r="I46" s="64" t="str">
        <f t="shared" si="0"/>
        <v/>
      </c>
      <c r="J46" s="81" t="str">
        <f>IFERROR(VLOOKUP(F46&amp;"|"&amp;G46,'📘 TABELA_SUBSÍDIOS'!$B$18:$E$27,4,0),"")</f>
        <v/>
      </c>
    </row>
    <row r="47" ht="19.5" customHeight="1" spans="2:10">
      <c r="B47" s="54"/>
      <c r="C47" s="52"/>
      <c r="D47" s="52"/>
      <c r="E47" s="55"/>
      <c r="F47" s="55"/>
      <c r="G47" s="55"/>
      <c r="H47" s="52"/>
      <c r="I47" s="64" t="str">
        <f t="shared" si="0"/>
        <v/>
      </c>
      <c r="J47" s="81" t="str">
        <f>IFERROR(VLOOKUP(F47&amp;"|"&amp;G47,'📘 TABELA_SUBSÍDIOS'!$B$18:$E$27,4,0),"")</f>
        <v/>
      </c>
    </row>
    <row r="48" ht="19.5" customHeight="1" spans="2:10">
      <c r="B48" s="57"/>
      <c r="C48" s="52"/>
      <c r="D48" s="52"/>
      <c r="E48" s="55"/>
      <c r="F48" s="55"/>
      <c r="G48" s="55"/>
      <c r="H48" s="52"/>
      <c r="I48" s="64" t="str">
        <f t="shared" si="0"/>
        <v/>
      </c>
      <c r="J48" s="81" t="str">
        <f>IFERROR(VLOOKUP(F48&amp;"|"&amp;G48,'📘 TABELA_SUBSÍDIOS'!$B$18:$E$27,4,0),"")</f>
        <v/>
      </c>
    </row>
    <row r="49" ht="19.5" customHeight="1" spans="2:10">
      <c r="B49" s="54"/>
      <c r="C49" s="52"/>
      <c r="D49" s="52"/>
      <c r="E49" s="55"/>
      <c r="F49" s="55"/>
      <c r="G49" s="55"/>
      <c r="H49" s="52"/>
      <c r="I49" s="64" t="str">
        <f t="shared" si="0"/>
        <v/>
      </c>
      <c r="J49" s="81" t="str">
        <f>IFERROR(VLOOKUP(F49&amp;"|"&amp;G49,'📘 TABELA_SUBSÍDIOS'!$B$18:$E$27,4,0),"")</f>
        <v/>
      </c>
    </row>
    <row r="50" ht="19.5" customHeight="1" spans="2:10">
      <c r="B50" s="57"/>
      <c r="C50" s="52"/>
      <c r="D50" s="52"/>
      <c r="E50" s="55"/>
      <c r="F50" s="55"/>
      <c r="G50" s="55"/>
      <c r="H50" s="52"/>
      <c r="I50" s="64" t="str">
        <f t="shared" si="0"/>
        <v/>
      </c>
      <c r="J50" s="81" t="str">
        <f>IFERROR(VLOOKUP(F50&amp;"|"&amp;G50,'📘 TABELA_SUBSÍDIOS'!$B$18:$E$27,4,0),"")</f>
        <v/>
      </c>
    </row>
    <row r="51" ht="19.5" customHeight="1" spans="2:10">
      <c r="B51" s="54"/>
      <c r="C51" s="52"/>
      <c r="D51" s="52"/>
      <c r="E51" s="55"/>
      <c r="F51" s="55"/>
      <c r="G51" s="55"/>
      <c r="H51" s="52"/>
      <c r="I51" s="64" t="str">
        <f t="shared" si="0"/>
        <v/>
      </c>
      <c r="J51" s="81" t="str">
        <f>IFERROR(VLOOKUP(F51&amp;"|"&amp;G51,'📘 TABELA_SUBSÍDIOS'!$B$18:$E$27,4,0),"")</f>
        <v/>
      </c>
    </row>
    <row r="52" ht="19.5" customHeight="1" spans="2:10">
      <c r="B52" s="57"/>
      <c r="C52" s="52"/>
      <c r="D52" s="52"/>
      <c r="E52" s="55"/>
      <c r="F52" s="55"/>
      <c r="G52" s="55"/>
      <c r="H52" s="52"/>
      <c r="I52" s="64" t="str">
        <f t="shared" si="0"/>
        <v/>
      </c>
      <c r="J52" s="81" t="str">
        <f>IFERROR(VLOOKUP(F52&amp;"|"&amp;G52,'📘 TABELA_SUBSÍDIOS'!$B$18:$E$27,4,0),"")</f>
        <v/>
      </c>
    </row>
    <row r="53" ht="19.5" customHeight="1" spans="2:10">
      <c r="B53" s="54"/>
      <c r="C53" s="52"/>
      <c r="D53" s="52"/>
      <c r="E53" s="55"/>
      <c r="F53" s="55"/>
      <c r="G53" s="55"/>
      <c r="H53" s="52"/>
      <c r="I53" s="64" t="str">
        <f t="shared" si="0"/>
        <v/>
      </c>
      <c r="J53" s="81" t="str">
        <f>IFERROR(VLOOKUP(F53&amp;"|"&amp;G53,'📘 TABELA_SUBSÍDIOS'!$B$18:$E$27,4,0),"")</f>
        <v/>
      </c>
    </row>
    <row r="54" ht="19.5" customHeight="1" spans="2:10">
      <c r="B54" s="57"/>
      <c r="C54" s="52"/>
      <c r="D54" s="52"/>
      <c r="E54" s="55"/>
      <c r="F54" s="55"/>
      <c r="G54" s="55"/>
      <c r="H54" s="52"/>
      <c r="I54" s="64" t="str">
        <f t="shared" si="0"/>
        <v/>
      </c>
      <c r="J54" s="81" t="str">
        <f>IFERROR(VLOOKUP(F54&amp;"|"&amp;G54,'📘 TABELA_SUBSÍDIOS'!$B$18:$E$27,4,0),"")</f>
        <v/>
      </c>
    </row>
    <row r="55" ht="19.5" customHeight="1" spans="2:10">
      <c r="B55" s="54"/>
      <c r="C55" s="52"/>
      <c r="D55" s="52"/>
      <c r="E55" s="55"/>
      <c r="F55" s="55"/>
      <c r="G55" s="55"/>
      <c r="H55" s="52"/>
      <c r="I55" s="64" t="str">
        <f t="shared" si="0"/>
        <v/>
      </c>
      <c r="J55" s="81" t="str">
        <f>IFERROR(VLOOKUP(F55&amp;"|"&amp;G55,'📘 TABELA_SUBSÍDIOS'!$B$18:$E$27,4,0),"")</f>
        <v/>
      </c>
    </row>
    <row r="56" ht="19.5" customHeight="1" spans="2:10">
      <c r="B56" s="57"/>
      <c r="C56" s="52"/>
      <c r="D56" s="52"/>
      <c r="E56" s="55"/>
      <c r="F56" s="55"/>
      <c r="G56" s="55"/>
      <c r="H56" s="52"/>
      <c r="I56" s="64" t="str">
        <f t="shared" si="0"/>
        <v/>
      </c>
      <c r="J56" s="81" t="str">
        <f>IFERROR(VLOOKUP(F56&amp;"|"&amp;G56,'📘 TABELA_SUBSÍDIOS'!$B$18:$E$27,4,0),"")</f>
        <v/>
      </c>
    </row>
    <row r="57" ht="19.5" customHeight="1" spans="2:10">
      <c r="B57" s="54"/>
      <c r="C57" s="52"/>
      <c r="D57" s="52"/>
      <c r="E57" s="55"/>
      <c r="F57" s="55"/>
      <c r="G57" s="55"/>
      <c r="H57" s="52"/>
      <c r="I57" s="64" t="str">
        <f t="shared" si="0"/>
        <v/>
      </c>
      <c r="J57" s="81" t="str">
        <f>IFERROR(VLOOKUP(F57&amp;"|"&amp;G57,'📘 TABELA_SUBSÍDIOS'!$B$18:$E$27,4,0),"")</f>
        <v/>
      </c>
    </row>
    <row r="58" ht="19.5" customHeight="1" spans="2:10">
      <c r="B58" s="57"/>
      <c r="C58" s="52"/>
      <c r="D58" s="52"/>
      <c r="E58" s="55"/>
      <c r="F58" s="55"/>
      <c r="G58" s="55"/>
      <c r="H58" s="52"/>
      <c r="I58" s="64" t="str">
        <f t="shared" si="0"/>
        <v/>
      </c>
      <c r="J58" s="81" t="str">
        <f>IFERROR(VLOOKUP(F58&amp;"|"&amp;G58,'📘 TABELA_SUBSÍDIOS'!$B$18:$E$27,4,0),"")</f>
        <v/>
      </c>
    </row>
    <row r="59" ht="19.5" customHeight="1" spans="2:10">
      <c r="B59" s="54"/>
      <c r="C59" s="52"/>
      <c r="D59" s="52"/>
      <c r="E59" s="55"/>
      <c r="F59" s="55"/>
      <c r="G59" s="55"/>
      <c r="H59" s="52"/>
      <c r="I59" s="64" t="str">
        <f t="shared" si="0"/>
        <v/>
      </c>
      <c r="J59" s="81" t="str">
        <f>IFERROR(VLOOKUP(F59&amp;"|"&amp;G59,'📘 TABELA_SUBSÍDIOS'!$B$18:$E$27,4,0),"")</f>
        <v/>
      </c>
    </row>
    <row r="60" ht="25.5" customHeight="1" spans="2:10">
      <c r="B60" s="58" t="s">
        <v>241</v>
      </c>
      <c r="C60" s="58"/>
      <c r="D60" s="58"/>
      <c r="E60" s="58"/>
      <c r="F60" s="58"/>
      <c r="G60" s="58"/>
      <c r="H60" s="58"/>
      <c r="I60" s="58"/>
      <c r="J60" s="59">
        <f>SUMIF(J6:J59,"&gt;0")</f>
        <v>434000</v>
      </c>
    </row>
  </sheetData>
  <mergeCells count="4">
    <mergeCell ref="B2:J2"/>
    <mergeCell ref="B3:J3"/>
    <mergeCell ref="B4:J4"/>
    <mergeCell ref="B60:I60"/>
  </mergeCells>
  <dataValidations count="3">
    <dataValidation type="list" allowBlank="1" showInputMessage="1" showErrorMessage="1" errorTitle="Erro de Validação" error="Valor inválido" promptTitle="Docente" prompt="Seleccione o docente da lista" sqref="D18:D59">
      <formula1>'⚙ LISTAS'!$A$2:$A$11</formula1>
    </dataValidation>
    <dataValidation type="list" allowBlank="1" showInputMessage="1" showErrorMessage="1" errorTitle="Erro de Validação" error="Valor inválido" promptTitle="Função" prompt="Seleccione a função no júri" sqref="F18:F59">
      <formula1>'⚙ LISTAS'!$C$2:$C$6</formula1>
    </dataValidation>
    <dataValidation type="list" allowBlank="1" showInputMessage="1" showErrorMessage="1" errorTitle="Erro de Validação" error="Valor inválido" promptTitle="Tipo" prompt="Individual ou Dupla" sqref="G18:G59">
      <formula1>"Individual,Dupla"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E7145"/>
  </sheetPr>
  <dimension ref="B1:M46"/>
  <sheetViews>
    <sheetView showGridLines="0" workbookViewId="0">
      <pane xSplit="1" ySplit="6" topLeftCell="B53" activePane="bottomRight" state="frozen"/>
      <selection/>
      <selection pane="topRight"/>
      <selection pane="bottomLeft"/>
      <selection pane="bottomRight" activeCell="D8" sqref="D8"/>
    </sheetView>
  </sheetViews>
  <sheetFormatPr defaultColWidth="8.67592592592593" defaultRowHeight="14.4"/>
  <cols>
    <col min="1" max="1" width="3" customWidth="1"/>
    <col min="2" max="2" width="7" customWidth="1"/>
    <col min="3" max="3" width="30" customWidth="1"/>
    <col min="4" max="4" width="14" customWidth="1"/>
    <col min="5" max="5" width="18" customWidth="1"/>
    <col min="6" max="7" width="14" customWidth="1"/>
    <col min="8" max="8" width="16" customWidth="1"/>
    <col min="9" max="10" width="14" customWidth="1"/>
    <col min="11" max="13" width="18" customWidth="1"/>
    <col min="14" max="14" width="3" customWidth="1"/>
  </cols>
  <sheetData>
    <row r="1" ht="15.15"/>
    <row r="2" ht="31.5" customHeight="1" spans="2:13">
      <c r="B2" s="1" t="s">
        <v>84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4" customHeight="1" spans="2:13">
      <c r="B3" s="44" t="s">
        <v>242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ht="7.5" customHeight="1"/>
    <row r="5" ht="31.5" customHeight="1" spans="2:13">
      <c r="B5" s="45" t="s">
        <v>243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</row>
    <row r="6" ht="51.75" customHeight="1" spans="2:13">
      <c r="B6" s="46" t="s">
        <v>244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ht="51.75" customHeight="1" spans="2:13">
      <c r="B7" s="47" t="s">
        <v>192</v>
      </c>
      <c r="C7" s="47" t="s">
        <v>245</v>
      </c>
      <c r="D7" s="47" t="s">
        <v>246</v>
      </c>
      <c r="E7" s="47" t="s">
        <v>247</v>
      </c>
      <c r="F7" s="47" t="s">
        <v>248</v>
      </c>
      <c r="G7" s="47" t="s">
        <v>249</v>
      </c>
      <c r="H7" s="47" t="s">
        <v>250</v>
      </c>
      <c r="I7" s="47" t="s">
        <v>251</v>
      </c>
      <c r="J7" s="47" t="s">
        <v>252</v>
      </c>
      <c r="K7" s="47" t="s">
        <v>253</v>
      </c>
      <c r="L7" s="47" t="s">
        <v>254</v>
      </c>
      <c r="M7" s="47" t="s">
        <v>255</v>
      </c>
    </row>
    <row r="8" ht="21.75" customHeight="1" spans="2:13">
      <c r="B8" s="48">
        <v>1</v>
      </c>
      <c r="C8" s="36" t="s">
        <v>26</v>
      </c>
      <c r="D8" s="28" t="s">
        <v>22</v>
      </c>
      <c r="E8" s="49">
        <f>SUMIFS('💰 LANÇAMENTOS'!$J:$J,'💰 LANÇAMENTOS'!$D:$D,C8,'💰 LANÇAMENTOS'!$I:$I,D8)</f>
        <v>47500</v>
      </c>
      <c r="F8" s="17">
        <f t="shared" ref="F8:F45" si="0">IF(E8=0,0,E8*0.065)</f>
        <v>3087.5</v>
      </c>
      <c r="G8" s="50">
        <f t="shared" ref="G8:G45" si="1">IF(E8=0,"",E8-F8)</f>
        <v>44412.5</v>
      </c>
      <c r="H8" s="51"/>
      <c r="I8" s="17">
        <f t="shared" ref="I8:I45" si="2">IF(G8="","",G8-IF(H8="",0,H8))</f>
        <v>44412.5</v>
      </c>
      <c r="J8" s="52"/>
      <c r="K8" s="52"/>
      <c r="L8" s="52"/>
      <c r="M8" s="16" t="str">
        <f t="shared" ref="M8:M45" si="3">IF(E8=0,"—",IF(H8="","EM ATRASO",IF(H8&gt;=G8,"PAGO",IF(H8&gt;0,"PARCIAL","EM ATRASO"))))</f>
        <v>EM ATRASO</v>
      </c>
    </row>
    <row r="9" ht="21.75" customHeight="1" spans="2:13">
      <c r="B9" s="53">
        <v>2</v>
      </c>
      <c r="C9" s="33" t="s">
        <v>61</v>
      </c>
      <c r="D9" s="23" t="s">
        <v>22</v>
      </c>
      <c r="E9" s="49">
        <f>SUMIFS('💰 LANÇAMENTOS'!$J:$J,'💰 LANÇAMENTOS'!$D:$D,C9,'💰 LANÇAMENTOS'!$I:$I,D9)</f>
        <v>20000</v>
      </c>
      <c r="F9" s="17">
        <f t="shared" si="0"/>
        <v>1300</v>
      </c>
      <c r="G9" s="50">
        <f t="shared" si="1"/>
        <v>18700</v>
      </c>
      <c r="H9" s="51"/>
      <c r="I9" s="17">
        <f t="shared" si="2"/>
        <v>18700</v>
      </c>
      <c r="J9" s="52"/>
      <c r="K9" s="52"/>
      <c r="L9" s="52"/>
      <c r="M9" s="16" t="str">
        <f t="shared" si="3"/>
        <v>EM ATRASO</v>
      </c>
    </row>
    <row r="10" ht="21.75" customHeight="1" spans="2:13">
      <c r="B10" s="48">
        <v>3</v>
      </c>
      <c r="C10" s="36" t="s">
        <v>55</v>
      </c>
      <c r="D10" s="28" t="s">
        <v>22</v>
      </c>
      <c r="E10" s="49">
        <f>SUMIFS('💰 LANÇAMENTOS'!$J:$J,'💰 LANÇAMENTOS'!$D:$D,C10,'💰 LANÇAMENTOS'!$I:$I,D10)</f>
        <v>80000</v>
      </c>
      <c r="F10" s="17">
        <f t="shared" si="0"/>
        <v>5200</v>
      </c>
      <c r="G10" s="50">
        <f t="shared" si="1"/>
        <v>74800</v>
      </c>
      <c r="H10" s="51"/>
      <c r="I10" s="17">
        <f t="shared" si="2"/>
        <v>74800</v>
      </c>
      <c r="J10" s="52"/>
      <c r="K10" s="52"/>
      <c r="L10" s="52"/>
      <c r="M10" s="16" t="str">
        <f t="shared" si="3"/>
        <v>EM ATRASO</v>
      </c>
    </row>
    <row r="11" ht="21.75" customHeight="1" spans="2:13">
      <c r="B11" s="53">
        <v>4</v>
      </c>
      <c r="C11" s="33" t="s">
        <v>77</v>
      </c>
      <c r="D11" s="23" t="s">
        <v>22</v>
      </c>
      <c r="E11" s="49">
        <f>SUMIFS('💰 LANÇAMENTOS'!$J:$J,'💰 LANÇAMENTOS'!$D:$D,C11,'💰 LANÇAMENTOS'!$I:$I,D11)</f>
        <v>10000</v>
      </c>
      <c r="F11" s="17">
        <f t="shared" si="0"/>
        <v>650</v>
      </c>
      <c r="G11" s="50">
        <f t="shared" si="1"/>
        <v>9350</v>
      </c>
      <c r="H11" s="51"/>
      <c r="I11" s="17">
        <f t="shared" si="2"/>
        <v>9350</v>
      </c>
      <c r="J11" s="52"/>
      <c r="K11" s="52"/>
      <c r="L11" s="52"/>
      <c r="M11" s="16" t="str">
        <f t="shared" si="3"/>
        <v>EM ATRASO</v>
      </c>
    </row>
    <row r="12" ht="21.75" customHeight="1" spans="2:13">
      <c r="B12" s="48">
        <v>5</v>
      </c>
      <c r="C12" s="36" t="s">
        <v>46</v>
      </c>
      <c r="D12" s="28" t="s">
        <v>22</v>
      </c>
      <c r="E12" s="49">
        <f>SUMIFS('💰 LANÇAMENTOS'!$J:$J,'💰 LANÇAMENTOS'!$D:$D,C12,'💰 LANÇAMENTOS'!$I:$I,D12)</f>
        <v>27500</v>
      </c>
      <c r="F12" s="17">
        <f t="shared" si="0"/>
        <v>1787.5</v>
      </c>
      <c r="G12" s="50">
        <f t="shared" si="1"/>
        <v>25712.5</v>
      </c>
      <c r="H12" s="51"/>
      <c r="I12" s="17">
        <f t="shared" si="2"/>
        <v>25712.5</v>
      </c>
      <c r="J12" s="52"/>
      <c r="K12" s="52"/>
      <c r="L12" s="52"/>
      <c r="M12" s="16" t="str">
        <f t="shared" si="3"/>
        <v>EM ATRASO</v>
      </c>
    </row>
    <row r="13" ht="21.75" customHeight="1" spans="2:13">
      <c r="B13" s="53">
        <v>6</v>
      </c>
      <c r="C13" s="33" t="s">
        <v>65</v>
      </c>
      <c r="D13" s="23" t="s">
        <v>22</v>
      </c>
      <c r="E13" s="49">
        <f>SUMIFS('💰 LANÇAMENTOS'!$J:$J,'💰 LANÇAMENTOS'!$D:$D,C13,'💰 LANÇAMENTOS'!$I:$I,D13)</f>
        <v>104000</v>
      </c>
      <c r="F13" s="17">
        <f t="shared" si="0"/>
        <v>6760</v>
      </c>
      <c r="G13" s="50">
        <f t="shared" si="1"/>
        <v>97240</v>
      </c>
      <c r="H13" s="51"/>
      <c r="I13" s="17">
        <f t="shared" si="2"/>
        <v>97240</v>
      </c>
      <c r="J13" s="52"/>
      <c r="K13" s="52"/>
      <c r="L13" s="52"/>
      <c r="M13" s="16" t="str">
        <f t="shared" si="3"/>
        <v>EM ATRASO</v>
      </c>
    </row>
    <row r="14" ht="21.75" customHeight="1" spans="2:13">
      <c r="B14" s="48">
        <v>7</v>
      </c>
      <c r="C14" s="36" t="s">
        <v>73</v>
      </c>
      <c r="D14" s="28" t="s">
        <v>22</v>
      </c>
      <c r="E14" s="49">
        <f>SUMIFS('💰 LANÇAMENTOS'!$J:$J,'💰 LANÇAMENTOS'!$D:$D,C14,'💰 LANÇAMENTOS'!$I:$I,D14)</f>
        <v>15000</v>
      </c>
      <c r="F14" s="17">
        <f t="shared" si="0"/>
        <v>975</v>
      </c>
      <c r="G14" s="50">
        <f t="shared" si="1"/>
        <v>14025</v>
      </c>
      <c r="H14" s="51"/>
      <c r="I14" s="17">
        <f t="shared" si="2"/>
        <v>14025</v>
      </c>
      <c r="J14" s="52"/>
      <c r="K14" s="52"/>
      <c r="L14" s="52"/>
      <c r="M14" s="16" t="str">
        <f t="shared" si="3"/>
        <v>EM ATRASO</v>
      </c>
    </row>
    <row r="15" ht="21.75" customHeight="1" spans="2:13">
      <c r="B15" s="53">
        <v>8</v>
      </c>
      <c r="C15" s="33" t="s">
        <v>15</v>
      </c>
      <c r="D15" s="23" t="s">
        <v>33</v>
      </c>
      <c r="E15" s="49">
        <f>SUMIFS('💰 LANÇAMENTOS'!$J:$J,'💰 LANÇAMENTOS'!$D:$D,C15,'💰 LANÇAMENTOS'!$I:$I,D15)</f>
        <v>20000</v>
      </c>
      <c r="F15" s="17">
        <f t="shared" si="0"/>
        <v>1300</v>
      </c>
      <c r="G15" s="50">
        <f t="shared" si="1"/>
        <v>18700</v>
      </c>
      <c r="H15" s="51"/>
      <c r="I15" s="17">
        <f t="shared" si="2"/>
        <v>18700</v>
      </c>
      <c r="J15" s="52"/>
      <c r="K15" s="52"/>
      <c r="L15" s="52"/>
      <c r="M15" s="16" t="str">
        <f t="shared" si="3"/>
        <v>EM ATRASO</v>
      </c>
    </row>
    <row r="16" ht="21.75" customHeight="1" spans="2:13">
      <c r="B16" s="48">
        <v>9</v>
      </c>
      <c r="C16" s="36" t="s">
        <v>37</v>
      </c>
      <c r="D16" s="28" t="s">
        <v>33</v>
      </c>
      <c r="E16" s="49">
        <f>SUMIFS('💰 LANÇAMENTOS'!$J:$J,'💰 LANÇAMENTOS'!$D:$D,C16,'💰 LANÇAMENTOS'!$I:$I,D16)</f>
        <v>20000</v>
      </c>
      <c r="F16" s="17">
        <f t="shared" si="0"/>
        <v>1300</v>
      </c>
      <c r="G16" s="50">
        <f t="shared" si="1"/>
        <v>18700</v>
      </c>
      <c r="H16" s="51"/>
      <c r="I16" s="17">
        <f t="shared" si="2"/>
        <v>18700</v>
      </c>
      <c r="J16" s="52"/>
      <c r="K16" s="52"/>
      <c r="L16" s="52"/>
      <c r="M16" s="16" t="str">
        <f t="shared" si="3"/>
        <v>EM ATRASO</v>
      </c>
    </row>
    <row r="17" ht="21.75" customHeight="1" spans="2:13">
      <c r="B17" s="53">
        <v>10</v>
      </c>
      <c r="C17" s="33" t="s">
        <v>61</v>
      </c>
      <c r="D17" s="23" t="s">
        <v>33</v>
      </c>
      <c r="E17" s="49">
        <f>SUMIFS('💰 LANÇAMENTOS'!$J:$J,'💰 LANÇAMENTOS'!$D:$D,C17,'💰 LANÇAMENTOS'!$I:$I,D17)</f>
        <v>80000</v>
      </c>
      <c r="F17" s="17">
        <f t="shared" si="0"/>
        <v>5200</v>
      </c>
      <c r="G17" s="50">
        <f t="shared" si="1"/>
        <v>74800</v>
      </c>
      <c r="H17" s="51"/>
      <c r="I17" s="17">
        <f t="shared" si="2"/>
        <v>74800</v>
      </c>
      <c r="J17" s="52"/>
      <c r="K17" s="52"/>
      <c r="L17" s="52"/>
      <c r="M17" s="16" t="str">
        <f t="shared" si="3"/>
        <v>EM ATRASO</v>
      </c>
    </row>
    <row r="18" ht="21.75" customHeight="1" spans="2:13">
      <c r="B18" s="48">
        <v>11</v>
      </c>
      <c r="C18" s="36" t="s">
        <v>69</v>
      </c>
      <c r="D18" s="28" t="s">
        <v>33</v>
      </c>
      <c r="E18" s="49">
        <f>SUMIFS('💰 LANÇAMENTOS'!$J:$J,'💰 LANÇAMENTOS'!$D:$D,C18,'💰 LANÇAMENTOS'!$I:$I,D18)</f>
        <v>10000</v>
      </c>
      <c r="F18" s="17">
        <f t="shared" si="0"/>
        <v>650</v>
      </c>
      <c r="G18" s="50">
        <f t="shared" si="1"/>
        <v>9350</v>
      </c>
      <c r="H18" s="51"/>
      <c r="I18" s="17">
        <f t="shared" si="2"/>
        <v>9350</v>
      </c>
      <c r="J18" s="52"/>
      <c r="K18" s="52"/>
      <c r="L18" s="52"/>
      <c r="M18" s="16" t="str">
        <f t="shared" si="3"/>
        <v>EM ATRASO</v>
      </c>
    </row>
    <row r="19" ht="19.5" customHeight="1" spans="2:13">
      <c r="B19" s="54"/>
      <c r="C19" s="52"/>
      <c r="D19" s="55"/>
      <c r="E19" s="29">
        <f>SUMIFS('💰 LANÇAMENTOS'!$J:$J,'💰 LANÇAMENTOS'!$D:$D,C19,'💰 LANÇAMENTOS'!$I:$I,D19)</f>
        <v>0</v>
      </c>
      <c r="F19" s="30">
        <f t="shared" si="0"/>
        <v>0</v>
      </c>
      <c r="G19" s="56" t="str">
        <f t="shared" si="1"/>
        <v/>
      </c>
      <c r="H19" s="51"/>
      <c r="I19" s="30" t="str">
        <f t="shared" si="2"/>
        <v/>
      </c>
      <c r="J19" s="52"/>
      <c r="K19" s="52"/>
      <c r="L19" s="52"/>
      <c r="M19" s="28" t="str">
        <f t="shared" si="3"/>
        <v>—</v>
      </c>
    </row>
    <row r="20" ht="19.5" customHeight="1" spans="2:13">
      <c r="B20" s="57"/>
      <c r="C20" s="52"/>
      <c r="D20" s="55"/>
      <c r="E20" s="29">
        <f>SUMIFS('💰 LANÇAMENTOS'!$J:$J,'💰 LANÇAMENTOS'!$D:$D,C20,'💰 LANÇAMENTOS'!$I:$I,D20)</f>
        <v>0</v>
      </c>
      <c r="F20" s="30">
        <f t="shared" si="0"/>
        <v>0</v>
      </c>
      <c r="G20" s="56" t="str">
        <f t="shared" si="1"/>
        <v/>
      </c>
      <c r="H20" s="51"/>
      <c r="I20" s="30" t="str">
        <f t="shared" si="2"/>
        <v/>
      </c>
      <c r="J20" s="52"/>
      <c r="K20" s="52"/>
      <c r="L20" s="52"/>
      <c r="M20" s="28" t="str">
        <f t="shared" si="3"/>
        <v>—</v>
      </c>
    </row>
    <row r="21" ht="19.5" customHeight="1" spans="2:13">
      <c r="B21" s="54"/>
      <c r="C21" s="52"/>
      <c r="D21" s="55"/>
      <c r="E21" s="29">
        <f>SUMIFS('💰 LANÇAMENTOS'!$J:$J,'💰 LANÇAMENTOS'!$D:$D,C21,'💰 LANÇAMENTOS'!$I:$I,D21)</f>
        <v>0</v>
      </c>
      <c r="F21" s="30">
        <f t="shared" si="0"/>
        <v>0</v>
      </c>
      <c r="G21" s="56" t="str">
        <f t="shared" si="1"/>
        <v/>
      </c>
      <c r="H21" s="51"/>
      <c r="I21" s="30" t="str">
        <f t="shared" si="2"/>
        <v/>
      </c>
      <c r="J21" s="52"/>
      <c r="K21" s="52"/>
      <c r="L21" s="52"/>
      <c r="M21" s="28" t="str">
        <f t="shared" si="3"/>
        <v>—</v>
      </c>
    </row>
    <row r="22" ht="19.5" customHeight="1" spans="2:13">
      <c r="B22" s="57"/>
      <c r="C22" s="52"/>
      <c r="D22" s="55"/>
      <c r="E22" s="29">
        <f>SUMIFS('💰 LANÇAMENTOS'!$J:$J,'💰 LANÇAMENTOS'!$D:$D,C22,'💰 LANÇAMENTOS'!$I:$I,D22)</f>
        <v>0</v>
      </c>
      <c r="F22" s="30">
        <f t="shared" si="0"/>
        <v>0</v>
      </c>
      <c r="G22" s="56" t="str">
        <f t="shared" si="1"/>
        <v/>
      </c>
      <c r="H22" s="51"/>
      <c r="I22" s="30" t="str">
        <f t="shared" si="2"/>
        <v/>
      </c>
      <c r="J22" s="52"/>
      <c r="K22" s="52"/>
      <c r="L22" s="52"/>
      <c r="M22" s="28" t="str">
        <f t="shared" si="3"/>
        <v>—</v>
      </c>
    </row>
    <row r="23" ht="19.5" customHeight="1" spans="2:13">
      <c r="B23" s="54"/>
      <c r="C23" s="52"/>
      <c r="D23" s="55"/>
      <c r="E23" s="29">
        <f>SUMIFS('💰 LANÇAMENTOS'!$J:$J,'💰 LANÇAMENTOS'!$D:$D,C23,'💰 LANÇAMENTOS'!$I:$I,D23)</f>
        <v>0</v>
      </c>
      <c r="F23" s="30">
        <f t="shared" si="0"/>
        <v>0</v>
      </c>
      <c r="G23" s="56" t="str">
        <f t="shared" si="1"/>
        <v/>
      </c>
      <c r="H23" s="51"/>
      <c r="I23" s="30" t="str">
        <f t="shared" si="2"/>
        <v/>
      </c>
      <c r="J23" s="52"/>
      <c r="K23" s="52"/>
      <c r="L23" s="52"/>
      <c r="M23" s="28" t="str">
        <f t="shared" si="3"/>
        <v>—</v>
      </c>
    </row>
    <row r="24" ht="19.5" customHeight="1" spans="2:13">
      <c r="B24" s="57"/>
      <c r="C24" s="52"/>
      <c r="D24" s="55"/>
      <c r="E24" s="29">
        <f>SUMIFS('💰 LANÇAMENTOS'!$J:$J,'💰 LANÇAMENTOS'!$D:$D,C24,'💰 LANÇAMENTOS'!$I:$I,D24)</f>
        <v>0</v>
      </c>
      <c r="F24" s="30">
        <f t="shared" si="0"/>
        <v>0</v>
      </c>
      <c r="G24" s="56" t="str">
        <f t="shared" si="1"/>
        <v/>
      </c>
      <c r="H24" s="51"/>
      <c r="I24" s="30" t="str">
        <f t="shared" si="2"/>
        <v/>
      </c>
      <c r="J24" s="52"/>
      <c r="K24" s="52"/>
      <c r="L24" s="52"/>
      <c r="M24" s="28" t="str">
        <f t="shared" si="3"/>
        <v>—</v>
      </c>
    </row>
    <row r="25" ht="19.5" customHeight="1" spans="2:13">
      <c r="B25" s="54"/>
      <c r="C25" s="52"/>
      <c r="D25" s="55"/>
      <c r="E25" s="29">
        <f>SUMIFS('💰 LANÇAMENTOS'!$J:$J,'💰 LANÇAMENTOS'!$D:$D,C25,'💰 LANÇAMENTOS'!$I:$I,D25)</f>
        <v>0</v>
      </c>
      <c r="F25" s="30">
        <f t="shared" si="0"/>
        <v>0</v>
      </c>
      <c r="G25" s="56" t="str">
        <f t="shared" si="1"/>
        <v/>
      </c>
      <c r="H25" s="51"/>
      <c r="I25" s="30" t="str">
        <f t="shared" si="2"/>
        <v/>
      </c>
      <c r="J25" s="52"/>
      <c r="K25" s="52"/>
      <c r="L25" s="52"/>
      <c r="M25" s="28" t="str">
        <f t="shared" si="3"/>
        <v>—</v>
      </c>
    </row>
    <row r="26" ht="19.5" customHeight="1" spans="2:13">
      <c r="B26" s="57"/>
      <c r="C26" s="52"/>
      <c r="D26" s="55"/>
      <c r="E26" s="29">
        <f>SUMIFS('💰 LANÇAMENTOS'!$J:$J,'💰 LANÇAMENTOS'!$D:$D,C26,'💰 LANÇAMENTOS'!$I:$I,D26)</f>
        <v>0</v>
      </c>
      <c r="F26" s="30">
        <f t="shared" si="0"/>
        <v>0</v>
      </c>
      <c r="G26" s="56" t="str">
        <f t="shared" si="1"/>
        <v/>
      </c>
      <c r="H26" s="51"/>
      <c r="I26" s="30" t="str">
        <f t="shared" si="2"/>
        <v/>
      </c>
      <c r="J26" s="52"/>
      <c r="K26" s="52"/>
      <c r="L26" s="52"/>
      <c r="M26" s="28" t="str">
        <f t="shared" si="3"/>
        <v>—</v>
      </c>
    </row>
    <row r="27" ht="19.5" customHeight="1" spans="2:13">
      <c r="B27" s="54"/>
      <c r="C27" s="52"/>
      <c r="D27" s="55"/>
      <c r="E27" s="29">
        <f>SUMIFS('💰 LANÇAMENTOS'!$J:$J,'💰 LANÇAMENTOS'!$D:$D,C27,'💰 LANÇAMENTOS'!$I:$I,D27)</f>
        <v>0</v>
      </c>
      <c r="F27" s="30">
        <f t="shared" si="0"/>
        <v>0</v>
      </c>
      <c r="G27" s="56" t="str">
        <f t="shared" si="1"/>
        <v/>
      </c>
      <c r="H27" s="51"/>
      <c r="I27" s="30" t="str">
        <f t="shared" si="2"/>
        <v/>
      </c>
      <c r="J27" s="52"/>
      <c r="K27" s="52"/>
      <c r="L27" s="52"/>
      <c r="M27" s="28" t="str">
        <f t="shared" si="3"/>
        <v>—</v>
      </c>
    </row>
    <row r="28" ht="19.5" customHeight="1" spans="2:13">
      <c r="B28" s="57"/>
      <c r="C28" s="52"/>
      <c r="D28" s="55"/>
      <c r="E28" s="29">
        <f>SUMIFS('💰 LANÇAMENTOS'!$J:$J,'💰 LANÇAMENTOS'!$D:$D,C28,'💰 LANÇAMENTOS'!$I:$I,D28)</f>
        <v>0</v>
      </c>
      <c r="F28" s="30">
        <f t="shared" si="0"/>
        <v>0</v>
      </c>
      <c r="G28" s="56" t="str">
        <f t="shared" si="1"/>
        <v/>
      </c>
      <c r="H28" s="51"/>
      <c r="I28" s="30" t="str">
        <f t="shared" si="2"/>
        <v/>
      </c>
      <c r="J28" s="52"/>
      <c r="K28" s="52"/>
      <c r="L28" s="52"/>
      <c r="M28" s="28" t="str">
        <f t="shared" si="3"/>
        <v>—</v>
      </c>
    </row>
    <row r="29" ht="19.5" customHeight="1" spans="2:13">
      <c r="B29" s="54"/>
      <c r="C29" s="52"/>
      <c r="D29" s="55"/>
      <c r="E29" s="29">
        <f>SUMIFS('💰 LANÇAMENTOS'!$J:$J,'💰 LANÇAMENTOS'!$D:$D,C29,'💰 LANÇAMENTOS'!$I:$I,D29)</f>
        <v>0</v>
      </c>
      <c r="F29" s="30">
        <f t="shared" si="0"/>
        <v>0</v>
      </c>
      <c r="G29" s="56" t="str">
        <f t="shared" si="1"/>
        <v/>
      </c>
      <c r="H29" s="51"/>
      <c r="I29" s="30" t="str">
        <f t="shared" si="2"/>
        <v/>
      </c>
      <c r="J29" s="52"/>
      <c r="K29" s="52"/>
      <c r="L29" s="52"/>
      <c r="M29" s="28" t="str">
        <f t="shared" si="3"/>
        <v>—</v>
      </c>
    </row>
    <row r="30" ht="19.5" customHeight="1" spans="2:13">
      <c r="B30" s="57"/>
      <c r="C30" s="52"/>
      <c r="D30" s="55"/>
      <c r="E30" s="29">
        <f>SUMIFS('💰 LANÇAMENTOS'!$J:$J,'💰 LANÇAMENTOS'!$D:$D,C30,'💰 LANÇAMENTOS'!$I:$I,D30)</f>
        <v>0</v>
      </c>
      <c r="F30" s="30">
        <f t="shared" si="0"/>
        <v>0</v>
      </c>
      <c r="G30" s="56" t="str">
        <f t="shared" si="1"/>
        <v/>
      </c>
      <c r="H30" s="51"/>
      <c r="I30" s="30" t="str">
        <f t="shared" si="2"/>
        <v/>
      </c>
      <c r="J30" s="52"/>
      <c r="K30" s="52"/>
      <c r="L30" s="52"/>
      <c r="M30" s="28" t="str">
        <f t="shared" si="3"/>
        <v>—</v>
      </c>
    </row>
    <row r="31" ht="19.5" customHeight="1" spans="2:13">
      <c r="B31" s="54"/>
      <c r="C31" s="52"/>
      <c r="D31" s="55"/>
      <c r="E31" s="29">
        <f>SUMIFS('💰 LANÇAMENTOS'!$J:$J,'💰 LANÇAMENTOS'!$D:$D,C31,'💰 LANÇAMENTOS'!$I:$I,D31)</f>
        <v>0</v>
      </c>
      <c r="F31" s="30">
        <f t="shared" si="0"/>
        <v>0</v>
      </c>
      <c r="G31" s="56" t="str">
        <f t="shared" si="1"/>
        <v/>
      </c>
      <c r="H31" s="51"/>
      <c r="I31" s="30" t="str">
        <f t="shared" si="2"/>
        <v/>
      </c>
      <c r="J31" s="52"/>
      <c r="K31" s="52"/>
      <c r="L31" s="52"/>
      <c r="M31" s="28" t="str">
        <f t="shared" si="3"/>
        <v>—</v>
      </c>
    </row>
    <row r="32" ht="19.5" customHeight="1" spans="2:13">
      <c r="B32" s="57"/>
      <c r="C32" s="52"/>
      <c r="D32" s="55"/>
      <c r="E32" s="29">
        <f>SUMIFS('💰 LANÇAMENTOS'!$J:$J,'💰 LANÇAMENTOS'!$D:$D,C32,'💰 LANÇAMENTOS'!$I:$I,D32)</f>
        <v>0</v>
      </c>
      <c r="F32" s="30">
        <f t="shared" si="0"/>
        <v>0</v>
      </c>
      <c r="G32" s="56" t="str">
        <f t="shared" si="1"/>
        <v/>
      </c>
      <c r="H32" s="51"/>
      <c r="I32" s="30" t="str">
        <f t="shared" si="2"/>
        <v/>
      </c>
      <c r="J32" s="52"/>
      <c r="K32" s="52"/>
      <c r="L32" s="52"/>
      <c r="M32" s="28" t="str">
        <f t="shared" si="3"/>
        <v>—</v>
      </c>
    </row>
    <row r="33" ht="19.5" customHeight="1" spans="2:13">
      <c r="B33" s="54"/>
      <c r="C33" s="52"/>
      <c r="D33" s="55"/>
      <c r="E33" s="29">
        <f>SUMIFS('💰 LANÇAMENTOS'!$J:$J,'💰 LANÇAMENTOS'!$D:$D,C33,'💰 LANÇAMENTOS'!$I:$I,D33)</f>
        <v>0</v>
      </c>
      <c r="F33" s="30">
        <f t="shared" si="0"/>
        <v>0</v>
      </c>
      <c r="G33" s="56" t="str">
        <f t="shared" si="1"/>
        <v/>
      </c>
      <c r="H33" s="51"/>
      <c r="I33" s="30" t="str">
        <f t="shared" si="2"/>
        <v/>
      </c>
      <c r="J33" s="52"/>
      <c r="K33" s="52"/>
      <c r="L33" s="52"/>
      <c r="M33" s="28" t="str">
        <f t="shared" si="3"/>
        <v>—</v>
      </c>
    </row>
    <row r="34" ht="19.5" customHeight="1" spans="2:13">
      <c r="B34" s="57"/>
      <c r="C34" s="52"/>
      <c r="D34" s="55"/>
      <c r="E34" s="29">
        <f>SUMIFS('💰 LANÇAMENTOS'!$J:$J,'💰 LANÇAMENTOS'!$D:$D,C34,'💰 LANÇAMENTOS'!$I:$I,D34)</f>
        <v>0</v>
      </c>
      <c r="F34" s="30">
        <f t="shared" si="0"/>
        <v>0</v>
      </c>
      <c r="G34" s="56" t="str">
        <f t="shared" si="1"/>
        <v/>
      </c>
      <c r="H34" s="51"/>
      <c r="I34" s="30" t="str">
        <f t="shared" si="2"/>
        <v/>
      </c>
      <c r="J34" s="52"/>
      <c r="K34" s="52"/>
      <c r="L34" s="52"/>
      <c r="M34" s="28" t="str">
        <f t="shared" si="3"/>
        <v>—</v>
      </c>
    </row>
    <row r="35" ht="19.5" customHeight="1" spans="2:13">
      <c r="B35" s="54"/>
      <c r="C35" s="52"/>
      <c r="D35" s="55"/>
      <c r="E35" s="29">
        <f>SUMIFS('💰 LANÇAMENTOS'!$J:$J,'💰 LANÇAMENTOS'!$D:$D,C35,'💰 LANÇAMENTOS'!$I:$I,D35)</f>
        <v>0</v>
      </c>
      <c r="F35" s="30">
        <f t="shared" si="0"/>
        <v>0</v>
      </c>
      <c r="G35" s="56" t="str">
        <f t="shared" si="1"/>
        <v/>
      </c>
      <c r="H35" s="51"/>
      <c r="I35" s="30" t="str">
        <f t="shared" si="2"/>
        <v/>
      </c>
      <c r="J35" s="52"/>
      <c r="K35" s="52"/>
      <c r="L35" s="52"/>
      <c r="M35" s="28" t="str">
        <f t="shared" si="3"/>
        <v>—</v>
      </c>
    </row>
    <row r="36" ht="19.5" customHeight="1" spans="2:13">
      <c r="B36" s="57"/>
      <c r="C36" s="52"/>
      <c r="D36" s="55"/>
      <c r="E36" s="29">
        <f>SUMIFS('💰 LANÇAMENTOS'!$J:$J,'💰 LANÇAMENTOS'!$D:$D,C36,'💰 LANÇAMENTOS'!$I:$I,D36)</f>
        <v>0</v>
      </c>
      <c r="F36" s="30">
        <f t="shared" si="0"/>
        <v>0</v>
      </c>
      <c r="G36" s="56" t="str">
        <f t="shared" si="1"/>
        <v/>
      </c>
      <c r="H36" s="51"/>
      <c r="I36" s="30" t="str">
        <f t="shared" si="2"/>
        <v/>
      </c>
      <c r="J36" s="52"/>
      <c r="K36" s="52"/>
      <c r="L36" s="52"/>
      <c r="M36" s="28" t="str">
        <f t="shared" si="3"/>
        <v>—</v>
      </c>
    </row>
    <row r="37" ht="19.5" customHeight="1" spans="2:13">
      <c r="B37" s="54"/>
      <c r="C37" s="52"/>
      <c r="D37" s="55"/>
      <c r="E37" s="29">
        <f>SUMIFS('💰 LANÇAMENTOS'!$J:$J,'💰 LANÇAMENTOS'!$D:$D,C37,'💰 LANÇAMENTOS'!$I:$I,D37)</f>
        <v>0</v>
      </c>
      <c r="F37" s="30">
        <f t="shared" si="0"/>
        <v>0</v>
      </c>
      <c r="G37" s="56" t="str">
        <f t="shared" si="1"/>
        <v/>
      </c>
      <c r="H37" s="51"/>
      <c r="I37" s="30" t="str">
        <f t="shared" si="2"/>
        <v/>
      </c>
      <c r="J37" s="52"/>
      <c r="K37" s="52"/>
      <c r="L37" s="52"/>
      <c r="M37" s="28" t="str">
        <f t="shared" si="3"/>
        <v>—</v>
      </c>
    </row>
    <row r="38" ht="19.5" customHeight="1" spans="2:13">
      <c r="B38" s="57"/>
      <c r="C38" s="52"/>
      <c r="D38" s="55"/>
      <c r="E38" s="29">
        <f>SUMIFS('💰 LANÇAMENTOS'!$J:$J,'💰 LANÇAMENTOS'!$D:$D,C38,'💰 LANÇAMENTOS'!$I:$I,D38)</f>
        <v>0</v>
      </c>
      <c r="F38" s="30">
        <f t="shared" si="0"/>
        <v>0</v>
      </c>
      <c r="G38" s="56" t="str">
        <f t="shared" si="1"/>
        <v/>
      </c>
      <c r="H38" s="51"/>
      <c r="I38" s="30" t="str">
        <f t="shared" si="2"/>
        <v/>
      </c>
      <c r="J38" s="52"/>
      <c r="K38" s="52"/>
      <c r="L38" s="52"/>
      <c r="M38" s="28" t="str">
        <f t="shared" si="3"/>
        <v>—</v>
      </c>
    </row>
    <row r="39" ht="19.5" customHeight="1" spans="2:13">
      <c r="B39" s="54"/>
      <c r="C39" s="52"/>
      <c r="D39" s="55"/>
      <c r="E39" s="29">
        <f>SUMIFS('💰 LANÇAMENTOS'!$J:$J,'💰 LANÇAMENTOS'!$D:$D,C39,'💰 LANÇAMENTOS'!$I:$I,D39)</f>
        <v>0</v>
      </c>
      <c r="F39" s="30">
        <f t="shared" si="0"/>
        <v>0</v>
      </c>
      <c r="G39" s="56" t="str">
        <f t="shared" si="1"/>
        <v/>
      </c>
      <c r="H39" s="51"/>
      <c r="I39" s="30" t="str">
        <f t="shared" si="2"/>
        <v/>
      </c>
      <c r="J39" s="52"/>
      <c r="K39" s="52"/>
      <c r="L39" s="52"/>
      <c r="M39" s="28" t="str">
        <f t="shared" si="3"/>
        <v>—</v>
      </c>
    </row>
    <row r="40" ht="19.5" customHeight="1" spans="2:13">
      <c r="B40" s="57"/>
      <c r="C40" s="52"/>
      <c r="D40" s="55"/>
      <c r="E40" s="29">
        <f>SUMIFS('💰 LANÇAMENTOS'!$J:$J,'💰 LANÇAMENTOS'!$D:$D,C40,'💰 LANÇAMENTOS'!$I:$I,D40)</f>
        <v>0</v>
      </c>
      <c r="F40" s="30">
        <f t="shared" si="0"/>
        <v>0</v>
      </c>
      <c r="G40" s="56" t="str">
        <f t="shared" si="1"/>
        <v/>
      </c>
      <c r="H40" s="51"/>
      <c r="I40" s="30" t="str">
        <f t="shared" si="2"/>
        <v/>
      </c>
      <c r="J40" s="52"/>
      <c r="K40" s="52"/>
      <c r="L40" s="52"/>
      <c r="M40" s="28" t="str">
        <f t="shared" si="3"/>
        <v>—</v>
      </c>
    </row>
    <row r="41" ht="19.5" customHeight="1" spans="2:13">
      <c r="B41" s="54"/>
      <c r="C41" s="52"/>
      <c r="D41" s="55"/>
      <c r="E41" s="29">
        <f>SUMIFS('💰 LANÇAMENTOS'!$J:$J,'💰 LANÇAMENTOS'!$D:$D,C41,'💰 LANÇAMENTOS'!$I:$I,D41)</f>
        <v>0</v>
      </c>
      <c r="F41" s="30">
        <f t="shared" si="0"/>
        <v>0</v>
      </c>
      <c r="G41" s="56" t="str">
        <f t="shared" si="1"/>
        <v/>
      </c>
      <c r="H41" s="51"/>
      <c r="I41" s="30" t="str">
        <f t="shared" si="2"/>
        <v/>
      </c>
      <c r="J41" s="52"/>
      <c r="K41" s="52"/>
      <c r="L41" s="52"/>
      <c r="M41" s="28" t="str">
        <f t="shared" si="3"/>
        <v>—</v>
      </c>
    </row>
    <row r="42" ht="19.5" customHeight="1" spans="2:13">
      <c r="B42" s="57"/>
      <c r="C42" s="52"/>
      <c r="D42" s="55"/>
      <c r="E42" s="29">
        <f>SUMIFS('💰 LANÇAMENTOS'!$J:$J,'💰 LANÇAMENTOS'!$D:$D,C42,'💰 LANÇAMENTOS'!$I:$I,D42)</f>
        <v>0</v>
      </c>
      <c r="F42" s="30">
        <f t="shared" si="0"/>
        <v>0</v>
      </c>
      <c r="G42" s="56" t="str">
        <f t="shared" si="1"/>
        <v/>
      </c>
      <c r="H42" s="51"/>
      <c r="I42" s="30" t="str">
        <f t="shared" si="2"/>
        <v/>
      </c>
      <c r="J42" s="52"/>
      <c r="K42" s="52"/>
      <c r="L42" s="52"/>
      <c r="M42" s="28" t="str">
        <f t="shared" si="3"/>
        <v>—</v>
      </c>
    </row>
    <row r="43" ht="19.5" customHeight="1" spans="2:13">
      <c r="B43" s="54"/>
      <c r="C43" s="52"/>
      <c r="D43" s="55"/>
      <c r="E43" s="29">
        <f>SUMIFS('💰 LANÇAMENTOS'!$J:$J,'💰 LANÇAMENTOS'!$D:$D,C43,'💰 LANÇAMENTOS'!$I:$I,D43)</f>
        <v>0</v>
      </c>
      <c r="F43" s="30">
        <f t="shared" si="0"/>
        <v>0</v>
      </c>
      <c r="G43" s="56" t="str">
        <f t="shared" si="1"/>
        <v/>
      </c>
      <c r="H43" s="51"/>
      <c r="I43" s="30" t="str">
        <f t="shared" si="2"/>
        <v/>
      </c>
      <c r="J43" s="52"/>
      <c r="K43" s="52"/>
      <c r="L43" s="52"/>
      <c r="M43" s="28" t="str">
        <f t="shared" si="3"/>
        <v>—</v>
      </c>
    </row>
    <row r="44" ht="19.5" customHeight="1" spans="2:13">
      <c r="B44" s="57"/>
      <c r="C44" s="52"/>
      <c r="D44" s="55"/>
      <c r="E44" s="29">
        <f>SUMIFS('💰 LANÇAMENTOS'!$J:$J,'💰 LANÇAMENTOS'!$D:$D,C44,'💰 LANÇAMENTOS'!$I:$I,D44)</f>
        <v>0</v>
      </c>
      <c r="F44" s="30">
        <f t="shared" si="0"/>
        <v>0</v>
      </c>
      <c r="G44" s="56" t="str">
        <f t="shared" si="1"/>
        <v/>
      </c>
      <c r="H44" s="51"/>
      <c r="I44" s="30" t="str">
        <f t="shared" si="2"/>
        <v/>
      </c>
      <c r="J44" s="52"/>
      <c r="K44" s="52"/>
      <c r="L44" s="52"/>
      <c r="M44" s="28" t="str">
        <f t="shared" si="3"/>
        <v>—</v>
      </c>
    </row>
    <row r="45" ht="19.5" customHeight="1" spans="2:13">
      <c r="B45" s="54"/>
      <c r="C45" s="52"/>
      <c r="D45" s="55"/>
      <c r="E45" s="29">
        <f>SUMIFS('💰 LANÇAMENTOS'!$J:$J,'💰 LANÇAMENTOS'!$D:$D,C45,'💰 LANÇAMENTOS'!$I:$I,D45)</f>
        <v>0</v>
      </c>
      <c r="F45" s="30">
        <f t="shared" si="0"/>
        <v>0</v>
      </c>
      <c r="G45" s="56" t="str">
        <f t="shared" si="1"/>
        <v/>
      </c>
      <c r="H45" s="51"/>
      <c r="I45" s="30" t="str">
        <f t="shared" si="2"/>
        <v/>
      </c>
      <c r="J45" s="52"/>
      <c r="K45" s="52"/>
      <c r="L45" s="52"/>
      <c r="M45" s="28" t="str">
        <f t="shared" si="3"/>
        <v>—</v>
      </c>
    </row>
    <row r="46" ht="25.5" customHeight="1" spans="2:13">
      <c r="B46" s="58" t="s">
        <v>256</v>
      </c>
      <c r="C46" s="58"/>
      <c r="D46" s="58"/>
      <c r="E46" s="59">
        <f>SUMIF(E8:E45,"&gt;0")</f>
        <v>434000</v>
      </c>
      <c r="F46" s="59">
        <f>SUMIF(F8:F45,"&gt;0")</f>
        <v>28210</v>
      </c>
      <c r="G46" s="59">
        <f>SUMIF(G8:G45,"&gt;0")</f>
        <v>405790</v>
      </c>
      <c r="H46" s="59">
        <f>SUMIF(H8:H45,"&gt;0")</f>
        <v>0</v>
      </c>
      <c r="I46" s="59">
        <f>SUMIF(I8:I45,"&gt;0")</f>
        <v>405790</v>
      </c>
      <c r="J46" s="60"/>
      <c r="K46" s="60"/>
      <c r="L46" s="60"/>
      <c r="M46" s="60"/>
    </row>
  </sheetData>
  <mergeCells count="5">
    <mergeCell ref="B2:M2"/>
    <mergeCell ref="B3:M3"/>
    <mergeCell ref="B5:M5"/>
    <mergeCell ref="B6:M6"/>
    <mergeCell ref="B46:D46"/>
  </mergeCells>
  <conditionalFormatting sqref="M8:M45">
    <cfRule type="expression" dxfId="0" priority="2">
      <formula>M8="PAGO"</formula>
    </cfRule>
    <cfRule type="expression" dxfId="1" priority="3">
      <formula>M8="EM ATRASO"</formula>
    </cfRule>
    <cfRule type="expression" dxfId="2" priority="4">
      <formula>M8="PARCIAL"</formula>
    </cfRule>
  </conditionalFormatting>
  <dataValidations count="3">
    <dataValidation type="list" allowBlank="1" showInputMessage="1" showErrorMessage="1" errorTitle="Erro de Validação" error="Valor inválido" promptTitle="Docente" prompt="Seleccione o docente" sqref="C19:C45">
      <formula1>'⚙ LISTAS'!$A$2:$A$11</formula1>
    </dataValidation>
    <dataValidation type="list" allowBlank="1" showInputMessage="1" showErrorMessage="1" errorTitle="Erro de Validação" error="Valor inválido" promptTitle="Mês" prompt="Seleccione o mês de referência" sqref="D8:D45">
      <formula1>'⚙ LISTAS'!$H$2:$H$12</formula1>
    </dataValidation>
    <dataValidation type="list" allowBlank="1" showInputMessage="1" showErrorMessage="1" errorTitle="Erro de Validação" error="Valor inválido" promptTitle="Canal" prompt="Canal de pagamento" sqref="K8:K45">
      <formula1>'⚙ LISTAS'!$I$2:$I$5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05B2F"/>
  </sheetPr>
  <dimension ref="B1:G54"/>
  <sheetViews>
    <sheetView showGridLines="0" tabSelected="1" workbookViewId="0">
      <selection activeCell="L17" sqref="L17"/>
    </sheetView>
  </sheetViews>
  <sheetFormatPr defaultColWidth="8.67592592592593" defaultRowHeight="14.4" outlineLevelCol="6"/>
  <cols>
    <col min="1" max="1" width="3" customWidth="1"/>
    <col min="2" max="2" width="22" customWidth="1"/>
    <col min="3" max="7" width="20" customWidth="1"/>
    <col min="8" max="8" width="3" customWidth="1"/>
  </cols>
  <sheetData>
    <row r="1" ht="7.5" customHeight="1"/>
    <row r="2" ht="31.5" customHeight="1" spans="2:7">
      <c r="B2" s="1" t="s">
        <v>84</v>
      </c>
      <c r="C2" s="1"/>
      <c r="D2" s="1"/>
      <c r="E2" s="1"/>
      <c r="F2" s="1"/>
      <c r="G2" s="1"/>
    </row>
    <row r="3" ht="24" customHeight="1" spans="2:7">
      <c r="B3" s="2" t="s">
        <v>257</v>
      </c>
      <c r="C3" s="2"/>
      <c r="D3" s="2"/>
      <c r="E3" s="2"/>
      <c r="F3" s="2"/>
      <c r="G3" s="2"/>
    </row>
    <row r="4" ht="7.5" customHeight="1"/>
    <row r="5" ht="21.75" customHeight="1" spans="2:7">
      <c r="B5" s="3" t="s">
        <v>258</v>
      </c>
      <c r="C5" s="3"/>
      <c r="D5" s="4" t="s">
        <v>259</v>
      </c>
      <c r="E5" s="4"/>
      <c r="F5" s="5" t="s">
        <v>260</v>
      </c>
      <c r="G5" s="5"/>
    </row>
    <row r="6" ht="43.5" customHeight="1" spans="2:7">
      <c r="B6" s="6">
        <f>'🧾 RESUMO_IRT'!E46</f>
        <v>434000</v>
      </c>
      <c r="C6" s="6"/>
      <c r="D6" s="7">
        <f>'🧾 RESUMO_IRT'!F46</f>
        <v>28210</v>
      </c>
      <c r="E6" s="7"/>
      <c r="F6" s="8">
        <f>'🧾 RESUMO_IRT'!G46</f>
        <v>405790</v>
      </c>
      <c r="G6" s="8"/>
    </row>
    <row r="7" ht="15.75" customHeight="1" spans="2:7">
      <c r="B7" s="9" t="s">
        <v>261</v>
      </c>
      <c r="C7" s="9"/>
      <c r="D7" s="9" t="s">
        <v>262</v>
      </c>
      <c r="E7" s="9"/>
      <c r="F7" s="9" t="s">
        <v>263</v>
      </c>
      <c r="G7" s="9"/>
    </row>
    <row r="8" ht="7.5" customHeight="1"/>
    <row r="9" ht="27.75" customHeight="1" spans="2:7">
      <c r="B9" s="10" t="s">
        <v>264</v>
      </c>
      <c r="C9" s="10"/>
      <c r="D9" s="10"/>
      <c r="E9" s="10"/>
      <c r="F9" s="10"/>
      <c r="G9" s="10"/>
    </row>
    <row r="10" ht="7.5" customHeight="1"/>
    <row r="11" ht="25.5" customHeight="1" spans="2:7">
      <c r="B11" s="11" t="s">
        <v>265</v>
      </c>
      <c r="C11" s="11"/>
      <c r="D11" s="11"/>
      <c r="E11" s="11"/>
      <c r="F11" s="11"/>
      <c r="G11" s="11"/>
    </row>
    <row r="12" ht="21.75" customHeight="1" spans="2:7">
      <c r="B12" s="12" t="s">
        <v>255</v>
      </c>
      <c r="C12" s="12" t="s">
        <v>266</v>
      </c>
      <c r="D12" s="12" t="s">
        <v>267</v>
      </c>
      <c r="E12" s="12" t="s">
        <v>268</v>
      </c>
      <c r="F12" s="12" t="s">
        <v>152</v>
      </c>
      <c r="G12" s="12" t="s">
        <v>269</v>
      </c>
    </row>
    <row r="13" ht="21.75" customHeight="1" spans="2:7">
      <c r="B13" s="13" t="s">
        <v>24</v>
      </c>
      <c r="C13" s="13">
        <f>COUNTIF('🧾 RESUMO_IRT'!M8:M45,"PAGO")</f>
        <v>0</v>
      </c>
      <c r="D13" s="14">
        <f>SUMPRODUCT(('🧾 RESUMO_IRT'!M8:M45="PAGO")*IF('🧾 RESUMO_IRT'!E8:E45="",0,'🧾 RESUMO_IRT'!E8:E45))</f>
        <v>0</v>
      </c>
      <c r="E13" s="14">
        <f>SUMPRODUCT(('🧾 RESUMO_IRT'!M8:M45="PAGO")*IF('🧾 RESUMO_IRT'!F8:F45="",0,'🧾 RESUMO_IRT'!F8:F45))</f>
        <v>0</v>
      </c>
      <c r="F13" s="14" t="e">
        <f>SUMPRODUCT(('🧾 RESUMO_IRT'!M8:M45="PAGO")*IF('🧾 RESUMO_IRT'!G8:G45="",0,'🧾 RESUMO_IRT'!G8:G45))</f>
        <v>#VALUE!</v>
      </c>
      <c r="G13" s="15">
        <f>IF('🧾 RESUMO_IRT'!E46=0,"—",D13/'🧾 RESUMO_IRT'!E46)</f>
        <v>0</v>
      </c>
    </row>
    <row r="14" ht="21.75" customHeight="1" spans="2:7">
      <c r="B14" s="16" t="s">
        <v>35</v>
      </c>
      <c r="C14" s="16">
        <f>COUNTIF('🧾 RESUMO_IRT'!M8:M45,"EM ATRASO")</f>
        <v>11</v>
      </c>
      <c r="D14" s="17">
        <f>SUMPRODUCT(('🧾 RESUMO_IRT'!M8:M45="EM ATRASO")*IF('🧾 RESUMO_IRT'!E8:E45="",0,'🧾 RESUMO_IRT'!E8:E45))</f>
        <v>434000</v>
      </c>
      <c r="E14" s="17">
        <f>SUMPRODUCT(('🧾 RESUMO_IRT'!M8:M45="EM ATRASO")*IF('🧾 RESUMO_IRT'!F8:F45="",0,'🧾 RESUMO_IRT'!F8:F45))</f>
        <v>28210</v>
      </c>
      <c r="F14" s="17" t="e">
        <f>SUMPRODUCT(('🧾 RESUMO_IRT'!M8:M45="EM ATRASO")*IF('🧾 RESUMO_IRT'!G8:G45="",0,'🧾 RESUMO_IRT'!G8:G45))</f>
        <v>#VALUE!</v>
      </c>
      <c r="G14" s="18">
        <f>IF('🧾 RESUMO_IRT'!E46=0,"—",D14/'🧾 RESUMO_IRT'!E46)</f>
        <v>1</v>
      </c>
    </row>
    <row r="15" ht="21.75" customHeight="1" spans="2:7">
      <c r="B15" s="19" t="s">
        <v>44</v>
      </c>
      <c r="C15" s="19">
        <f>COUNTIF('🧾 RESUMO_IRT'!M8:M45,"PARCIAL")</f>
        <v>0</v>
      </c>
      <c r="D15" s="20">
        <f>SUMPRODUCT(('🧾 RESUMO_IRT'!M8:M45="PARCIAL")*IF('🧾 RESUMO_IRT'!E8:E45="",0,'🧾 RESUMO_IRT'!E8:E45))</f>
        <v>0</v>
      </c>
      <c r="E15" s="20">
        <f>SUMPRODUCT(('🧾 RESUMO_IRT'!M8:M45="PARCIAL")*IF('🧾 RESUMO_IRT'!F8:F45="",0,'🧾 RESUMO_IRT'!F8:F45))</f>
        <v>0</v>
      </c>
      <c r="F15" s="20" t="e">
        <f>SUMPRODUCT(('🧾 RESUMO_IRT'!M8:M45="PARCIAL")*IF('🧾 RESUMO_IRT'!G8:G45="",0,'🧾 RESUMO_IRT'!G8:G45))</f>
        <v>#VALUE!</v>
      </c>
      <c r="G15" s="21">
        <f>IF('🧾 RESUMO_IRT'!E46=0,"—",D15/'🧾 RESUMO_IRT'!E46)</f>
        <v>0</v>
      </c>
    </row>
    <row r="16" ht="7.5" customHeight="1"/>
    <row r="17" ht="25.5" customHeight="1" spans="2:7">
      <c r="B17" s="11" t="s">
        <v>270</v>
      </c>
      <c r="C17" s="11"/>
      <c r="D17" s="11"/>
      <c r="E17" s="11"/>
      <c r="F17" s="11"/>
      <c r="G17" s="11"/>
    </row>
    <row r="18" ht="21.75" customHeight="1" spans="2:7">
      <c r="B18" s="12" t="s">
        <v>271</v>
      </c>
      <c r="C18" s="12" t="s">
        <v>272</v>
      </c>
      <c r="D18" s="12" t="s">
        <v>273</v>
      </c>
      <c r="E18" s="12" t="s">
        <v>274</v>
      </c>
      <c r="F18" s="12" t="s">
        <v>275</v>
      </c>
      <c r="G18" s="12" t="s">
        <v>276</v>
      </c>
    </row>
    <row r="19" ht="21.75" customHeight="1" spans="2:7">
      <c r="B19" s="22" t="s">
        <v>22</v>
      </c>
      <c r="C19" s="23">
        <f>COUNTIF('🧾 RESUMO_IRT'!D8:D45,"Fev/2026")</f>
        <v>7</v>
      </c>
      <c r="D19" s="24">
        <f>SUMIF('🧾 RESUMO_IRT'!D8:D45,"Fev/2026",'🧾 RESUMO_IRT'!E8:E45)</f>
        <v>304000</v>
      </c>
      <c r="E19" s="25">
        <f>SUMIF('🧾 RESUMO_IRT'!D8:D45,"Fev/2026",'🧾 RESUMO_IRT'!F8:F45)</f>
        <v>19760</v>
      </c>
      <c r="F19" s="26">
        <f>SUMIF('🧾 RESUMO_IRT'!D8:D45,"Fev/2026",'🧾 RESUMO_IRT'!G8:G45)</f>
        <v>284240</v>
      </c>
      <c r="G19" s="17">
        <f>SUMIF('🧾 RESUMO_IRT'!D8:D45,"Fev/2026",'🧾 RESUMO_IRT'!I8:I45)</f>
        <v>284240</v>
      </c>
    </row>
    <row r="20" ht="21.75" customHeight="1" spans="2:7">
      <c r="B20" s="27" t="s">
        <v>33</v>
      </c>
      <c r="C20" s="28">
        <f>COUNTIF('🧾 RESUMO_IRT'!D8:D45,"Mar/2026")</f>
        <v>4</v>
      </c>
      <c r="D20" s="29">
        <f>SUMIF('🧾 RESUMO_IRT'!D8:D45,"Mar/2026",'🧾 RESUMO_IRT'!E8:E45)</f>
        <v>130000</v>
      </c>
      <c r="E20" s="30">
        <f>SUMIF('🧾 RESUMO_IRT'!D8:D45,"Mar/2026",'🧾 RESUMO_IRT'!F8:F45)</f>
        <v>8450</v>
      </c>
      <c r="F20" s="31">
        <f>SUMIF('🧾 RESUMO_IRT'!D8:D45,"Mar/2026",'🧾 RESUMO_IRT'!G8:G45)</f>
        <v>121550</v>
      </c>
      <c r="G20" s="32">
        <f>SUMIF('🧾 RESUMO_IRT'!D8:D45,"Mar/2026",'🧾 RESUMO_IRT'!I8:I45)</f>
        <v>121550</v>
      </c>
    </row>
    <row r="21" ht="21.75" customHeight="1" spans="2:7">
      <c r="B21" s="22" t="s">
        <v>42</v>
      </c>
      <c r="C21" s="23">
        <f>COUNTIF('🧾 RESUMO_IRT'!D8:D45,"Abr/2026")</f>
        <v>0</v>
      </c>
      <c r="D21" s="24">
        <f>SUMIF('🧾 RESUMO_IRT'!D8:D45,"Abr/2026",'🧾 RESUMO_IRT'!E8:E45)</f>
        <v>0</v>
      </c>
      <c r="E21" s="25">
        <f>SUMIF('🧾 RESUMO_IRT'!D8:D45,"Abr/2026",'🧾 RESUMO_IRT'!F8:F45)</f>
        <v>0</v>
      </c>
      <c r="F21" s="26">
        <f>SUMIF('🧾 RESUMO_IRT'!D8:D45,"Abr/2026",'🧾 RESUMO_IRT'!G8:G45)</f>
        <v>0</v>
      </c>
      <c r="G21" s="17">
        <f>SUMIF('🧾 RESUMO_IRT'!D8:D45,"Abr/2026",'🧾 RESUMO_IRT'!I8:I45)</f>
        <v>0</v>
      </c>
    </row>
    <row r="22" ht="21.75" customHeight="1" spans="2:7">
      <c r="B22" s="27" t="s">
        <v>51</v>
      </c>
      <c r="C22" s="28">
        <f>COUNTIF('🧾 RESUMO_IRT'!D8:D45,"Mai/2026")</f>
        <v>0</v>
      </c>
      <c r="D22" s="29">
        <f>SUMIF('🧾 RESUMO_IRT'!D8:D45,"Mai/2026",'🧾 RESUMO_IRT'!E8:E45)</f>
        <v>0</v>
      </c>
      <c r="E22" s="30">
        <f>SUMIF('🧾 RESUMO_IRT'!D8:D45,"Mai/2026",'🧾 RESUMO_IRT'!F8:F45)</f>
        <v>0</v>
      </c>
      <c r="F22" s="31">
        <f>SUMIF('🧾 RESUMO_IRT'!D8:D45,"Mai/2026",'🧾 RESUMO_IRT'!G8:G45)</f>
        <v>0</v>
      </c>
      <c r="G22" s="32">
        <f>SUMIF('🧾 RESUMO_IRT'!D8:D45,"Mai/2026",'🧾 RESUMO_IRT'!I8:I45)</f>
        <v>0</v>
      </c>
    </row>
    <row r="23" ht="21.75" customHeight="1" spans="2:7">
      <c r="B23" s="22" t="s">
        <v>59</v>
      </c>
      <c r="C23" s="23">
        <f>COUNTIF('🧾 RESUMO_IRT'!D8:D45,"Jun/2026")</f>
        <v>0</v>
      </c>
      <c r="D23" s="24">
        <f>SUMIF('🧾 RESUMO_IRT'!D8:D45,"Jun/2026",'🧾 RESUMO_IRT'!E8:E45)</f>
        <v>0</v>
      </c>
      <c r="E23" s="25">
        <f>SUMIF('🧾 RESUMO_IRT'!D8:D45,"Jun/2026",'🧾 RESUMO_IRT'!F8:F45)</f>
        <v>0</v>
      </c>
      <c r="F23" s="26">
        <f>SUMIF('🧾 RESUMO_IRT'!D8:D45,"Jun/2026",'🧾 RESUMO_IRT'!G8:G45)</f>
        <v>0</v>
      </c>
      <c r="G23" s="17">
        <f>SUMIF('🧾 RESUMO_IRT'!D8:D45,"Jun/2026",'🧾 RESUMO_IRT'!I8:I45)</f>
        <v>0</v>
      </c>
    </row>
    <row r="24" ht="21.75" customHeight="1" spans="2:7">
      <c r="B24" s="27" t="s">
        <v>63</v>
      </c>
      <c r="C24" s="28">
        <f>COUNTIF('🧾 RESUMO_IRT'!D8:D45,"Jul/2026")</f>
        <v>0</v>
      </c>
      <c r="D24" s="29">
        <f>SUMIF('🧾 RESUMO_IRT'!D8:D45,"Jul/2026",'🧾 RESUMO_IRT'!E8:E45)</f>
        <v>0</v>
      </c>
      <c r="E24" s="30">
        <f>SUMIF('🧾 RESUMO_IRT'!D8:D45,"Jul/2026",'🧾 RESUMO_IRT'!F8:F45)</f>
        <v>0</v>
      </c>
      <c r="F24" s="31">
        <f>SUMIF('🧾 RESUMO_IRT'!D8:D45,"Jul/2026",'🧾 RESUMO_IRT'!G8:G45)</f>
        <v>0</v>
      </c>
      <c r="G24" s="32">
        <f>SUMIF('🧾 RESUMO_IRT'!D8:D45,"Jul/2026",'🧾 RESUMO_IRT'!I8:I45)</f>
        <v>0</v>
      </c>
    </row>
    <row r="26" ht="7.5" customHeight="1"/>
    <row r="27" ht="25.5" customHeight="1" spans="2:7">
      <c r="B27" s="11" t="s">
        <v>277</v>
      </c>
      <c r="C27" s="11"/>
      <c r="D27" s="11"/>
      <c r="E27" s="11"/>
      <c r="F27" s="11"/>
      <c r="G27" s="11"/>
    </row>
    <row r="28" ht="21.75" customHeight="1" spans="2:7">
      <c r="B28" s="12" t="s">
        <v>278</v>
      </c>
      <c r="C28" s="12" t="s">
        <v>279</v>
      </c>
      <c r="D28" s="12" t="s">
        <v>267</v>
      </c>
      <c r="E28" s="12" t="s">
        <v>280</v>
      </c>
      <c r="F28" s="12" t="s">
        <v>281</v>
      </c>
      <c r="G28" s="12" t="s">
        <v>282</v>
      </c>
    </row>
    <row r="29" ht="19.5" customHeight="1" spans="2:7">
      <c r="B29" s="33" t="s">
        <v>15</v>
      </c>
      <c r="C29" s="23">
        <f>COUNTIF('🧾 RESUMO_IRT'!C8:C45,"Manuel Octávio Isaac Spínola")</f>
        <v>1</v>
      </c>
      <c r="D29" s="34">
        <f>SUMIF('🧾 RESUMO_IRT'!C8:C45,"Manuel Octávio Isaac Spínola",'🧾 RESUMO_IRT'!E8:E45)</f>
        <v>20000</v>
      </c>
      <c r="E29" s="35">
        <f>SUMIF('🧾 RESUMO_IRT'!C8:C45,"Manuel Octávio Isaac Spínola",'🧾 RESUMO_IRT'!F8:F45)</f>
        <v>1300</v>
      </c>
      <c r="F29" s="26">
        <f>SUMIF('🧾 RESUMO_IRT'!C8:C45,"Manuel Octávio Isaac Spínola",'🧾 RESUMO_IRT'!G8:G45)</f>
        <v>18700</v>
      </c>
      <c r="G29" s="16" t="str">
        <f>IF(COUNTIF('🧾 RESUMO_IRT'!C8:C45,"Manuel Octávio Isaac Spínola")=0,"Sem registo",IF(SUMIF('🧾 RESUMO_IRT'!C8:C45,"Manuel Octávio Isaac Spínola",'🧾 RESUMO_IRT'!I8:I45)&lt;=0,"PAGO",IF(SUMIF('🧾 RESUMO_IRT'!C8:C45,"Manuel Octávio Isaac Spínola",'🧾 RESUMO_IRT'!H8:H45)&gt;0,"PARCIAL","EM ATRASO")))</f>
        <v>EM ATRASO</v>
      </c>
    </row>
    <row r="30" ht="19.5" customHeight="1" spans="2:7">
      <c r="B30" s="36" t="s">
        <v>26</v>
      </c>
      <c r="C30" s="28">
        <f>COUNTIF('🧾 RESUMO_IRT'!C8:C45,"Ideleichy Lombillo Rivero")</f>
        <v>1</v>
      </c>
      <c r="D30" s="37">
        <f>SUMIF('🧾 RESUMO_IRT'!C8:C45,"Ideleichy Lombillo Rivero",'🧾 RESUMO_IRT'!E8:E45)</f>
        <v>47500</v>
      </c>
      <c r="E30" s="38">
        <f>SUMIF('🧾 RESUMO_IRT'!C8:C45,"Ideleichy Lombillo Rivero",'🧾 RESUMO_IRT'!F8:F45)</f>
        <v>3087.5</v>
      </c>
      <c r="F30" s="31">
        <f>SUMIF('🧾 RESUMO_IRT'!C8:C45,"Ideleichy Lombillo Rivero",'🧾 RESUMO_IRT'!G8:G45)</f>
        <v>44412.5</v>
      </c>
      <c r="G30" s="16" t="str">
        <f>IF(COUNTIF('🧾 RESUMO_IRT'!C8:C45,"Ideleichy Lombillo Rivero")=0,"Sem registo",IF(SUMIF('🧾 RESUMO_IRT'!C8:C45,"Ideleichy Lombillo Rivero",'🧾 RESUMO_IRT'!I8:I45)&lt;=0,"PAGO",IF(SUMIF('🧾 RESUMO_IRT'!C8:C45,"Ideleichy Lombillo Rivero",'🧾 RESUMO_IRT'!H8:H45)&gt;0,"PARCIAL","EM ATRASO")))</f>
        <v>EM ATRASO</v>
      </c>
    </row>
    <row r="31" ht="19.5" customHeight="1" spans="2:7">
      <c r="B31" s="33" t="s">
        <v>37</v>
      </c>
      <c r="C31" s="23">
        <f>COUNTIF('🧾 RESUMO_IRT'!C8:C45,"Elizabeth González")</f>
        <v>1</v>
      </c>
      <c r="D31" s="34">
        <f>SUMIF('🧾 RESUMO_IRT'!C8:C45,"Elizabeth González",'🧾 RESUMO_IRT'!E8:E45)</f>
        <v>20000</v>
      </c>
      <c r="E31" s="35">
        <f>SUMIF('🧾 RESUMO_IRT'!C8:C45,"Elizabeth González",'🧾 RESUMO_IRT'!F8:F45)</f>
        <v>1300</v>
      </c>
      <c r="F31" s="26">
        <f>SUMIF('🧾 RESUMO_IRT'!C8:C45,"Elizabeth González",'🧾 RESUMO_IRT'!G8:G45)</f>
        <v>18700</v>
      </c>
      <c r="G31" s="16" t="str">
        <f>IF(COUNTIF('🧾 RESUMO_IRT'!C8:C45,"Elizabeth González")=0,"Sem registo",IF(SUMIF('🧾 RESUMO_IRT'!C8:C45,"Elizabeth González",'🧾 RESUMO_IRT'!I8:I45)&lt;=0,"PAGO",IF(SUMIF('🧾 RESUMO_IRT'!C8:C45,"Elizabeth González",'🧾 RESUMO_IRT'!H8:H45)&gt;0,"PARCIAL","EM ATRASO")))</f>
        <v>EM ATRASO</v>
      </c>
    </row>
    <row r="32" ht="19.5" customHeight="1" spans="2:7">
      <c r="B32" s="36" t="s">
        <v>46</v>
      </c>
      <c r="C32" s="28">
        <f>COUNTIF('🧾 RESUMO_IRT'!C8:C45,"Domingos Lunga")</f>
        <v>1</v>
      </c>
      <c r="D32" s="37">
        <f>SUMIF('🧾 RESUMO_IRT'!C8:C45,"Domingos Lunga",'🧾 RESUMO_IRT'!E8:E45)</f>
        <v>27500</v>
      </c>
      <c r="E32" s="38">
        <f>SUMIF('🧾 RESUMO_IRT'!C8:C45,"Domingos Lunga",'🧾 RESUMO_IRT'!F8:F45)</f>
        <v>1787.5</v>
      </c>
      <c r="F32" s="31">
        <f>SUMIF('🧾 RESUMO_IRT'!C8:C45,"Domingos Lunga",'🧾 RESUMO_IRT'!G8:G45)</f>
        <v>25712.5</v>
      </c>
      <c r="G32" s="16" t="str">
        <f>IF(COUNTIF('🧾 RESUMO_IRT'!C8:C45,"Domingos Lunga")=0,"Sem registo",IF(SUMIF('🧾 RESUMO_IRT'!C8:C45,"Domingos Lunga",'🧾 RESUMO_IRT'!I8:I45)&lt;=0,"PAGO",IF(SUMIF('🧾 RESUMO_IRT'!C8:C45,"Domingos Lunga",'🧾 RESUMO_IRT'!H8:H45)&gt;0,"PARCIAL","EM ATRASO")))</f>
        <v>EM ATRASO</v>
      </c>
    </row>
    <row r="33" ht="19.5" customHeight="1" spans="2:7">
      <c r="B33" s="33" t="s">
        <v>55</v>
      </c>
      <c r="C33" s="23">
        <f>COUNTIF('🧾 RESUMO_IRT'!C8:C45,"José Fernando Manuel")</f>
        <v>1</v>
      </c>
      <c r="D33" s="34">
        <f>SUMIF('🧾 RESUMO_IRT'!C8:C45,"José Fernando Manuel",'🧾 RESUMO_IRT'!E8:E45)</f>
        <v>80000</v>
      </c>
      <c r="E33" s="35">
        <f>SUMIF('🧾 RESUMO_IRT'!C8:C45,"José Fernando Manuel",'🧾 RESUMO_IRT'!F8:F45)</f>
        <v>5200</v>
      </c>
      <c r="F33" s="26">
        <f>SUMIF('🧾 RESUMO_IRT'!C8:C45,"José Fernando Manuel",'🧾 RESUMO_IRT'!G8:G45)</f>
        <v>74800</v>
      </c>
      <c r="G33" s="16" t="str">
        <f>IF(COUNTIF('🧾 RESUMO_IRT'!C8:C45,"José Fernando Manuel")=0,"Sem registo",IF(SUMIF('🧾 RESUMO_IRT'!C8:C45,"José Fernando Manuel",'🧾 RESUMO_IRT'!I8:I45)&lt;=0,"PAGO",IF(SUMIF('🧾 RESUMO_IRT'!C8:C45,"José Fernando Manuel",'🧾 RESUMO_IRT'!H8:H45)&gt;0,"PARCIAL","EM ATRASO")))</f>
        <v>EM ATRASO</v>
      </c>
    </row>
    <row r="34" ht="19.5" customHeight="1" spans="2:7">
      <c r="B34" s="36" t="s">
        <v>61</v>
      </c>
      <c r="C34" s="28">
        <f>COUNTIF('🧾 RESUMO_IRT'!C8:C45,"Walquiria Chissimo")</f>
        <v>2</v>
      </c>
      <c r="D34" s="37">
        <f>SUMIF('🧾 RESUMO_IRT'!C8:C45,"Walquiria Chissimo",'🧾 RESUMO_IRT'!E8:E45)</f>
        <v>100000</v>
      </c>
      <c r="E34" s="38">
        <f>SUMIF('🧾 RESUMO_IRT'!C8:C45,"Walquiria Chissimo",'🧾 RESUMO_IRT'!F8:F45)</f>
        <v>6500</v>
      </c>
      <c r="F34" s="31">
        <f>SUMIF('🧾 RESUMO_IRT'!C8:C45,"Walquiria Chissimo",'🧾 RESUMO_IRT'!G8:G45)</f>
        <v>93500</v>
      </c>
      <c r="G34" s="16" t="str">
        <f>IF(COUNTIF('🧾 RESUMO_IRT'!C8:C45,"Walquiria Chissimo")=0,"Sem registo",IF(SUMIF('🧾 RESUMO_IRT'!C8:C45,"Walquiria Chissimo",'🧾 RESUMO_IRT'!I8:I45)&lt;=0,"PAGO",IF(SUMIF('🧾 RESUMO_IRT'!C8:C45,"Walquiria Chissimo",'🧾 RESUMO_IRT'!H8:H45)&gt;0,"PARCIAL","EM ATRASO")))</f>
        <v>EM ATRASO</v>
      </c>
    </row>
    <row r="35" ht="19.5" customHeight="1" spans="2:7">
      <c r="B35" s="33" t="s">
        <v>65</v>
      </c>
      <c r="C35" s="23">
        <f>COUNTIF('🧾 RESUMO_IRT'!C8:C45,"Félix Palau")</f>
        <v>1</v>
      </c>
      <c r="D35" s="34">
        <f>SUMIF('🧾 RESUMO_IRT'!C8:C45,"Félix Palau",'🧾 RESUMO_IRT'!E8:E45)</f>
        <v>104000</v>
      </c>
      <c r="E35" s="35">
        <f>SUMIF('🧾 RESUMO_IRT'!C8:C45,"Félix Palau",'🧾 RESUMO_IRT'!F8:F45)</f>
        <v>6760</v>
      </c>
      <c r="F35" s="26">
        <f>SUMIF('🧾 RESUMO_IRT'!C8:C45,"Félix Palau",'🧾 RESUMO_IRT'!G8:G45)</f>
        <v>97240</v>
      </c>
      <c r="G35" s="16" t="str">
        <f>IF(COUNTIF('🧾 RESUMO_IRT'!C8:C45,"Félix Palau")=0,"Sem registo",IF(SUMIF('🧾 RESUMO_IRT'!C8:C45,"Félix Palau",'🧾 RESUMO_IRT'!I8:I45)&lt;=0,"PAGO",IF(SUMIF('🧾 RESUMO_IRT'!C8:C45,"Félix Palau",'🧾 RESUMO_IRT'!H8:H45)&gt;0,"PARCIAL","EM ATRASO")))</f>
        <v>EM ATRASO</v>
      </c>
    </row>
    <row r="36" ht="19.5" customHeight="1" spans="2:7">
      <c r="B36" s="36" t="s">
        <v>69</v>
      </c>
      <c r="C36" s="28">
        <f>COUNTIF('🧾 RESUMO_IRT'!C8:C45,"Marilda Augusto")</f>
        <v>1</v>
      </c>
      <c r="D36" s="37">
        <f>SUMIF('🧾 RESUMO_IRT'!C8:C45,"Marilda Augusto",'🧾 RESUMO_IRT'!E8:E45)</f>
        <v>10000</v>
      </c>
      <c r="E36" s="38">
        <f>SUMIF('🧾 RESUMO_IRT'!C8:C45,"Marilda Augusto",'🧾 RESUMO_IRT'!F8:F45)</f>
        <v>650</v>
      </c>
      <c r="F36" s="31">
        <f>SUMIF('🧾 RESUMO_IRT'!C8:C45,"Marilda Augusto",'🧾 RESUMO_IRT'!G8:G45)</f>
        <v>9350</v>
      </c>
      <c r="G36" s="16" t="str">
        <f>IF(COUNTIF('🧾 RESUMO_IRT'!C8:C45,"Marilda Augusto")=0,"Sem registo",IF(SUMIF('🧾 RESUMO_IRT'!C8:C45,"Marilda Augusto",'🧾 RESUMO_IRT'!I8:I45)&lt;=0,"PAGO",IF(SUMIF('🧾 RESUMO_IRT'!C8:C45,"Marilda Augusto",'🧾 RESUMO_IRT'!H8:H45)&gt;0,"PARCIAL","EM ATRASO")))</f>
        <v>EM ATRASO</v>
      </c>
    </row>
    <row r="37" ht="19.5" customHeight="1" spans="2:7">
      <c r="B37" s="33" t="s">
        <v>73</v>
      </c>
      <c r="C37" s="23">
        <f>COUNTIF('🧾 RESUMO_IRT'!C8:C45,"José Monteiro")</f>
        <v>1</v>
      </c>
      <c r="D37" s="34">
        <f>SUMIF('🧾 RESUMO_IRT'!C8:C45,"José Monteiro",'🧾 RESUMO_IRT'!E8:E45)</f>
        <v>15000</v>
      </c>
      <c r="E37" s="35">
        <f>SUMIF('🧾 RESUMO_IRT'!C8:C45,"José Monteiro",'🧾 RESUMO_IRT'!F8:F45)</f>
        <v>975</v>
      </c>
      <c r="F37" s="26">
        <f>SUMIF('🧾 RESUMO_IRT'!C8:C45,"José Monteiro",'🧾 RESUMO_IRT'!G8:G45)</f>
        <v>14025</v>
      </c>
      <c r="G37" s="16" t="str">
        <f>IF(COUNTIF('🧾 RESUMO_IRT'!C8:C45,"José Monteiro")=0,"Sem registo",IF(SUMIF('🧾 RESUMO_IRT'!C8:C45,"José Monteiro",'🧾 RESUMO_IRT'!I8:I45)&lt;=0,"PAGO",IF(SUMIF('🧾 RESUMO_IRT'!C8:C45,"José Monteiro",'🧾 RESUMO_IRT'!H8:H45)&gt;0,"PARCIAL","EM ATRASO")))</f>
        <v>EM ATRASO</v>
      </c>
    </row>
    <row r="38" ht="19.5" customHeight="1" spans="2:7">
      <c r="B38" s="36" t="s">
        <v>77</v>
      </c>
      <c r="C38" s="28">
        <f>COUNTIF('🧾 RESUMO_IRT'!C8:C45,"Domingos Ngando")</f>
        <v>1</v>
      </c>
      <c r="D38" s="37">
        <f>SUMIF('🧾 RESUMO_IRT'!C8:C45,"Domingos Ngando",'🧾 RESUMO_IRT'!E8:E45)</f>
        <v>10000</v>
      </c>
      <c r="E38" s="38">
        <f>SUMIF('🧾 RESUMO_IRT'!C8:C45,"Domingos Ngando",'🧾 RESUMO_IRT'!F8:F45)</f>
        <v>650</v>
      </c>
      <c r="F38" s="31">
        <f>SUMIF('🧾 RESUMO_IRT'!C8:C45,"Domingos Ngando",'🧾 RESUMO_IRT'!G8:G45)</f>
        <v>9350</v>
      </c>
      <c r="G38" s="16" t="str">
        <f>IF(COUNTIF('🧾 RESUMO_IRT'!C8:C45,"Domingos Ngando")=0,"Sem registo",IF(SUMIF('🧾 RESUMO_IRT'!C8:C45,"Domingos Ngando",'🧾 RESUMO_IRT'!I8:I45)&lt;=0,"PAGO",IF(SUMIF('🧾 RESUMO_IRT'!C8:C45,"Domingos Ngando",'🧾 RESUMO_IRT'!H8:H45)&gt;0,"PARCIAL","EM ATRASO")))</f>
        <v>EM ATRASO</v>
      </c>
    </row>
    <row r="40" ht="7.5" customHeight="1"/>
    <row r="41" ht="31.5" customHeight="1" spans="2:7">
      <c r="B41" s="10" t="s">
        <v>283</v>
      </c>
      <c r="C41" s="10"/>
      <c r="D41" s="10"/>
      <c r="E41" s="10"/>
      <c r="F41" s="10"/>
      <c r="G41" s="10"/>
    </row>
    <row r="42" ht="7.5" customHeight="1"/>
    <row r="43" ht="25.5" customHeight="1" spans="2:7">
      <c r="B43" s="39" t="s">
        <v>284</v>
      </c>
      <c r="C43" s="39"/>
      <c r="D43" s="39"/>
      <c r="E43" s="39"/>
      <c r="F43" s="39"/>
      <c r="G43" s="39"/>
    </row>
    <row r="44" ht="21.75" customHeight="1" spans="2:7">
      <c r="B44" s="40" t="s">
        <v>285</v>
      </c>
      <c r="C44" s="41" t="s">
        <v>100</v>
      </c>
      <c r="D44" s="41"/>
      <c r="E44" s="41"/>
      <c r="F44" s="41"/>
      <c r="G44" s="41"/>
    </row>
    <row r="45" ht="21.75" customHeight="1" spans="2:7">
      <c r="B45" s="40" t="s">
        <v>286</v>
      </c>
      <c r="C45" s="42" t="s">
        <v>287</v>
      </c>
      <c r="D45" s="42"/>
      <c r="E45" s="42"/>
      <c r="F45" s="42"/>
      <c r="G45" s="42"/>
    </row>
    <row r="46" ht="21.75" customHeight="1" spans="2:7">
      <c r="B46" s="40" t="s">
        <v>288</v>
      </c>
      <c r="C46" s="41" t="s">
        <v>90</v>
      </c>
      <c r="D46" s="41"/>
      <c r="E46" s="41"/>
      <c r="F46" s="41"/>
      <c r="G46" s="41"/>
    </row>
    <row r="47" ht="21.75" customHeight="1" spans="2:7">
      <c r="B47" s="40" t="s">
        <v>101</v>
      </c>
      <c r="C47" s="42" t="s">
        <v>289</v>
      </c>
      <c r="D47" s="42"/>
      <c r="E47" s="42"/>
      <c r="F47" s="42"/>
      <c r="G47" s="42"/>
    </row>
    <row r="48" ht="21.75" customHeight="1" spans="2:7">
      <c r="B48" s="40" t="s">
        <v>290</v>
      </c>
      <c r="C48" s="42" t="s">
        <v>291</v>
      </c>
      <c r="D48" s="42"/>
      <c r="E48" s="42"/>
      <c r="F48" s="42"/>
      <c r="G48" s="42"/>
    </row>
    <row r="49" ht="21.75" customHeight="1" spans="2:7">
      <c r="B49" s="40" t="s">
        <v>292</v>
      </c>
      <c r="C49" s="42" t="s">
        <v>293</v>
      </c>
      <c r="D49" s="42"/>
      <c r="E49" s="42"/>
      <c r="F49" s="42"/>
      <c r="G49" s="42"/>
    </row>
    <row r="50" ht="21.75" customHeight="1" spans="2:7">
      <c r="B50" s="40" t="s">
        <v>294</v>
      </c>
      <c r="C50" s="42" t="s">
        <v>291</v>
      </c>
      <c r="D50" s="42"/>
      <c r="E50" s="42"/>
      <c r="F50" s="42"/>
      <c r="G50" s="42"/>
    </row>
    <row r="51" ht="21.75" customHeight="1" spans="2:7">
      <c r="B51" s="40" t="s">
        <v>295</v>
      </c>
      <c r="C51" s="42" t="s">
        <v>296</v>
      </c>
      <c r="D51" s="42"/>
      <c r="E51" s="42"/>
      <c r="F51" s="42"/>
      <c r="G51" s="42"/>
    </row>
    <row r="52" ht="21.75" customHeight="1" spans="2:7">
      <c r="B52" s="40" t="s">
        <v>297</v>
      </c>
      <c r="C52" s="41" t="s">
        <v>298</v>
      </c>
      <c r="D52" s="41"/>
      <c r="E52" s="41"/>
      <c r="F52" s="41"/>
      <c r="G52" s="41"/>
    </row>
    <row r="54" ht="18" customHeight="1" spans="2:7">
      <c r="B54" s="43" t="s">
        <v>299</v>
      </c>
      <c r="C54" s="43"/>
      <c r="D54" s="43"/>
      <c r="E54" s="43"/>
      <c r="F54" s="43"/>
      <c r="G54" s="43"/>
    </row>
  </sheetData>
  <mergeCells count="27">
    <mergeCell ref="B2:G2"/>
    <mergeCell ref="B3:G3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9:G9"/>
    <mergeCell ref="B11:G11"/>
    <mergeCell ref="B17:G17"/>
    <mergeCell ref="B27:G27"/>
    <mergeCell ref="B41:G41"/>
    <mergeCell ref="B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B54:G54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⚙ LISTAS</vt:lpstr>
      <vt:lpstr>📋 CAPA</vt:lpstr>
      <vt:lpstr>📘 TABELA_SUBSÍDIOS</vt:lpstr>
      <vt:lpstr>👥 MEMBROS_JÚRI</vt:lpstr>
      <vt:lpstr>📝 REGISTO_JÚRIS</vt:lpstr>
      <vt:lpstr>💰 LANÇAMENTOS</vt:lpstr>
      <vt:lpstr>🧾 RESUMO_IRT</vt:lpstr>
      <vt:lpstr>📊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Ideleichy L. Rivero</cp:lastModifiedBy>
  <cp:revision>0</cp:revision>
  <dcterms:created xsi:type="dcterms:W3CDTF">2026-05-01T06:42:00Z</dcterms:created>
  <dcterms:modified xsi:type="dcterms:W3CDTF">2026-05-01T07:00:35Z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8CA6F24802FB4AC592DB775B0E3E073A_13</vt:lpwstr>
  </property>
  <property fmtid="{D5CDD505-2E9C-101B-9397-08002B2CF9AE}" pid="3" name="KSOProductBuildVer">
    <vt:lpwstr>3082-12.1.0.25862</vt:lpwstr>
  </property>
  <property fmtid="{D5CDD505-2E9C-101B-9397-08002B2CF9AE}" pid="4" name="CalculationRule">
    <vt:i4>0</vt:i4>
  </property>
</Properties>
</file>